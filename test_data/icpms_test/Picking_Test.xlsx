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showInkAnnotation="0"/>
  <mc:AlternateContent xmlns:mc="http://schemas.openxmlformats.org/markup-compatibility/2006">
    <mc:Choice Requires="x15">
      <x15ac:absPath xmlns:x15ac="http://schemas.microsoft.com/office/spreadsheetml/2010/11/ac" url="/Users/Daven/Projects/Sparrow/Labs/Sparrow-CU-TRaIL/test_data/icpms_test/"/>
    </mc:Choice>
  </mc:AlternateContent>
  <xr:revisionPtr revIDLastSave="0" documentId="13_ncr:1_{4F77B719-5B9D-8D4B-9E7B-4C9A58F0F252}" xr6:coauthVersionLast="47" xr6:coauthVersionMax="47" xr10:uidLastSave="{00000000-0000-0000-0000-000000000000}"/>
  <bookViews>
    <workbookView xWindow="4340" yWindow="760" windowWidth="25880" windowHeight="21580" tabRatio="500" xr2:uid="{00000000-000D-0000-FFFF-FFFF00000000}"/>
  </bookViews>
  <sheets>
    <sheet name="master" sheetId="1" r:id="rId1"/>
  </sheets>
  <definedNames>
    <definedName name="_xlnm.Print_Area" localSheetId="0">master!$A$2:$U$28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G29" i="1" l="1"/>
  <c r="AH29" i="1"/>
  <c r="AF29" i="1"/>
  <c r="AK29" i="1"/>
  <c r="AL29" i="1"/>
  <c r="AB29" i="1"/>
  <c r="AE29" i="1"/>
  <c r="AI29" i="1"/>
  <c r="AJ29" i="1"/>
  <c r="AA29" i="1"/>
  <c r="G29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G28" i="1"/>
  <c r="AE28" i="1" s="1"/>
  <c r="AH28" i="1"/>
  <c r="AF28" i="1"/>
  <c r="AK28" i="1"/>
  <c r="AL28" i="1"/>
  <c r="AB28" i="1"/>
  <c r="G28" i="1"/>
  <c r="AG27" i="1"/>
  <c r="AE27" i="1" s="1"/>
  <c r="AH27" i="1"/>
  <c r="AF27" i="1"/>
  <c r="AK27" i="1" s="1"/>
  <c r="AB27" i="1" s="1"/>
  <c r="AL27" i="1"/>
  <c r="G27" i="1"/>
  <c r="AG26" i="1"/>
  <c r="AE26" i="1" s="1"/>
  <c r="AH26" i="1"/>
  <c r="AF26" i="1" s="1"/>
  <c r="G26" i="1"/>
  <c r="AG25" i="1"/>
  <c r="AE25" i="1" s="1"/>
  <c r="AH25" i="1"/>
  <c r="AF25" i="1"/>
  <c r="AK25" i="1" s="1"/>
  <c r="G25" i="1"/>
  <c r="AG24" i="1"/>
  <c r="AF24" i="1" s="1"/>
  <c r="AH24" i="1"/>
  <c r="G24" i="1"/>
  <c r="AG23" i="1"/>
  <c r="AF23" i="1" s="1"/>
  <c r="AH23" i="1"/>
  <c r="G23" i="1"/>
  <c r="AG22" i="1"/>
  <c r="AH22" i="1"/>
  <c r="AF22" i="1"/>
  <c r="AK22" i="1"/>
  <c r="AL22" i="1"/>
  <c r="AB22" i="1"/>
  <c r="AE22" i="1"/>
  <c r="AI22" i="1"/>
  <c r="AJ22" i="1"/>
  <c r="AA22" i="1"/>
  <c r="G22" i="1"/>
  <c r="AG21" i="1"/>
  <c r="AH21" i="1"/>
  <c r="AF21" i="1"/>
  <c r="AK21" i="1"/>
  <c r="AL21" i="1"/>
  <c r="AB21" i="1"/>
  <c r="AE21" i="1"/>
  <c r="AI21" i="1" s="1"/>
  <c r="AA21" i="1" s="1"/>
  <c r="AJ21" i="1"/>
  <c r="G21" i="1"/>
  <c r="AG20" i="1"/>
  <c r="AH20" i="1"/>
  <c r="AF20" i="1"/>
  <c r="AK20" i="1"/>
  <c r="AL20" i="1"/>
  <c r="AB20" i="1"/>
  <c r="AE20" i="1"/>
  <c r="AJ20" i="1" s="1"/>
  <c r="AI20" i="1"/>
  <c r="AA20" i="1" s="1"/>
  <c r="G20" i="1"/>
  <c r="AG19" i="1"/>
  <c r="AH19" i="1"/>
  <c r="AF19" i="1"/>
  <c r="AK19" i="1"/>
  <c r="AL19" i="1"/>
  <c r="AB19" i="1" s="1"/>
  <c r="AE19" i="1"/>
  <c r="AI19" i="1" s="1"/>
  <c r="G19" i="1"/>
  <c r="AG18" i="1"/>
  <c r="AE18" i="1" s="1"/>
  <c r="AH18" i="1"/>
  <c r="AF18" i="1"/>
  <c r="AK18" i="1"/>
  <c r="AL18" i="1"/>
  <c r="AB18" i="1"/>
  <c r="G18" i="1"/>
  <c r="AG17" i="1"/>
  <c r="AE17" i="1" s="1"/>
  <c r="AH17" i="1"/>
  <c r="AF17" i="1"/>
  <c r="AK17" i="1" s="1"/>
  <c r="AB17" i="1" s="1"/>
  <c r="AL17" i="1"/>
  <c r="G17" i="1"/>
  <c r="AG16" i="1"/>
  <c r="AE16" i="1" s="1"/>
  <c r="AH16" i="1"/>
  <c r="AF16" i="1" s="1"/>
  <c r="G16" i="1"/>
  <c r="AG15" i="1"/>
  <c r="AE15" i="1" s="1"/>
  <c r="AH15" i="1"/>
  <c r="AF15" i="1"/>
  <c r="AK15" i="1" s="1"/>
  <c r="G15" i="1"/>
  <c r="AG14" i="1"/>
  <c r="AF14" i="1" s="1"/>
  <c r="AH14" i="1"/>
  <c r="G14" i="1"/>
  <c r="AG13" i="1"/>
  <c r="AF13" i="1" s="1"/>
  <c r="AH13" i="1"/>
  <c r="G13" i="1"/>
  <c r="AG12" i="1"/>
  <c r="AH12" i="1"/>
  <c r="AF12" i="1"/>
  <c r="AK12" i="1"/>
  <c r="AL12" i="1"/>
  <c r="AB12" i="1"/>
  <c r="AE12" i="1"/>
  <c r="AI12" i="1"/>
  <c r="AJ12" i="1"/>
  <c r="AA12" i="1"/>
  <c r="G12" i="1"/>
  <c r="AG11" i="1"/>
  <c r="AH11" i="1"/>
  <c r="AF11" i="1"/>
  <c r="AK11" i="1"/>
  <c r="AL11" i="1"/>
  <c r="AB11" i="1"/>
  <c r="AE11" i="1"/>
  <c r="AI11" i="1" s="1"/>
  <c r="AA11" i="1" s="1"/>
  <c r="AJ11" i="1"/>
  <c r="G11" i="1"/>
  <c r="AG10" i="1"/>
  <c r="AH10" i="1"/>
  <c r="AF10" i="1"/>
  <c r="AK10" i="1"/>
  <c r="AL10" i="1"/>
  <c r="AB10" i="1"/>
  <c r="AE10" i="1"/>
  <c r="AJ10" i="1" s="1"/>
  <c r="AI10" i="1"/>
  <c r="AA10" i="1" s="1"/>
  <c r="G10" i="1"/>
  <c r="AG9" i="1"/>
  <c r="AH9" i="1"/>
  <c r="AF9" i="1"/>
  <c r="AK9" i="1"/>
  <c r="AL9" i="1"/>
  <c r="AB9" i="1" s="1"/>
  <c r="AE9" i="1"/>
  <c r="AI9" i="1" s="1"/>
  <c r="G9" i="1"/>
  <c r="AG8" i="1"/>
  <c r="AE8" i="1" s="1"/>
  <c r="AH8" i="1"/>
  <c r="AF8" i="1"/>
  <c r="AK8" i="1"/>
  <c r="AL8" i="1"/>
  <c r="AB8" i="1"/>
  <c r="G8" i="1"/>
  <c r="AG7" i="1"/>
  <c r="AE7" i="1" s="1"/>
  <c r="AH7" i="1"/>
  <c r="AF7" i="1"/>
  <c r="AK7" i="1" s="1"/>
  <c r="AB7" i="1" s="1"/>
  <c r="AL7" i="1"/>
  <c r="G7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5" i="1"/>
  <c r="G4" i="1"/>
  <c r="G3" i="1"/>
  <c r="AG188" i="1"/>
  <c r="AH188" i="1"/>
  <c r="AG187" i="1"/>
  <c r="AH187" i="1"/>
  <c r="AG186" i="1"/>
  <c r="AH186" i="1"/>
  <c r="AG185" i="1"/>
  <c r="AH185" i="1"/>
  <c r="AG184" i="1"/>
  <c r="AH184" i="1"/>
  <c r="AE184" i="1"/>
  <c r="AG183" i="1"/>
  <c r="AH183" i="1"/>
  <c r="AG182" i="1"/>
  <c r="AH182" i="1"/>
  <c r="AG181" i="1"/>
  <c r="AH181" i="1"/>
  <c r="AG180" i="1"/>
  <c r="AH180" i="1"/>
  <c r="AG179" i="1"/>
  <c r="AH179" i="1"/>
  <c r="AG178" i="1"/>
  <c r="AH178" i="1"/>
  <c r="AG177" i="1"/>
  <c r="AH177" i="1"/>
  <c r="AG176" i="1"/>
  <c r="AH176" i="1"/>
  <c r="AG175" i="1"/>
  <c r="AH175" i="1"/>
  <c r="AG174" i="1"/>
  <c r="AH174" i="1"/>
  <c r="AG173" i="1"/>
  <c r="AH173" i="1"/>
  <c r="AG172" i="1"/>
  <c r="AH172" i="1"/>
  <c r="AG171" i="1"/>
  <c r="AH171" i="1"/>
  <c r="AG170" i="1"/>
  <c r="AH170" i="1"/>
  <c r="AG169" i="1"/>
  <c r="AH169" i="1"/>
  <c r="AG168" i="1"/>
  <c r="AH168" i="1"/>
  <c r="AG167" i="1"/>
  <c r="AH167" i="1"/>
  <c r="AG166" i="1"/>
  <c r="AH166" i="1"/>
  <c r="AG165" i="1"/>
  <c r="AH165" i="1"/>
  <c r="AG164" i="1"/>
  <c r="AH164" i="1"/>
  <c r="AG163" i="1"/>
  <c r="AH163" i="1"/>
  <c r="AG162" i="1"/>
  <c r="AH162" i="1"/>
  <c r="AG161" i="1"/>
  <c r="AH161" i="1"/>
  <c r="AG160" i="1"/>
  <c r="AH160" i="1"/>
  <c r="AG159" i="1"/>
  <c r="AH159" i="1"/>
  <c r="AG158" i="1"/>
  <c r="AH158" i="1"/>
  <c r="AG157" i="1"/>
  <c r="AH157" i="1"/>
  <c r="AG156" i="1"/>
  <c r="AH156" i="1"/>
  <c r="AG155" i="1"/>
  <c r="AH155" i="1"/>
  <c r="AG154" i="1"/>
  <c r="AH154" i="1"/>
  <c r="AG153" i="1"/>
  <c r="AH153" i="1"/>
  <c r="AG152" i="1"/>
  <c r="AH152" i="1"/>
  <c r="AG151" i="1"/>
  <c r="AH151" i="1"/>
  <c r="AG150" i="1"/>
  <c r="AH150" i="1"/>
  <c r="AG149" i="1"/>
  <c r="AH149" i="1"/>
  <c r="AG148" i="1"/>
  <c r="AH148" i="1"/>
  <c r="AG147" i="1"/>
  <c r="AH147" i="1"/>
  <c r="AG146" i="1"/>
  <c r="AH146" i="1"/>
  <c r="AG145" i="1"/>
  <c r="AH145" i="1"/>
  <c r="AG144" i="1"/>
  <c r="AH144" i="1"/>
  <c r="AG143" i="1"/>
  <c r="AH143" i="1"/>
  <c r="AG142" i="1"/>
  <c r="AH142" i="1"/>
  <c r="AG141" i="1"/>
  <c r="AH141" i="1"/>
  <c r="AG140" i="1"/>
  <c r="AH140" i="1"/>
  <c r="AG139" i="1"/>
  <c r="AH139" i="1"/>
  <c r="AG138" i="1"/>
  <c r="AH138" i="1"/>
  <c r="AG137" i="1"/>
  <c r="AH137" i="1"/>
  <c r="AG136" i="1"/>
  <c r="AH136" i="1"/>
  <c r="AG135" i="1"/>
  <c r="AH135" i="1"/>
  <c r="AG134" i="1"/>
  <c r="AH134" i="1"/>
  <c r="AG133" i="1"/>
  <c r="AH133" i="1"/>
  <c r="AG132" i="1"/>
  <c r="AH132" i="1"/>
  <c r="AG131" i="1"/>
  <c r="AH131" i="1"/>
  <c r="AG130" i="1"/>
  <c r="AH130" i="1"/>
  <c r="AG129" i="1"/>
  <c r="AH129" i="1"/>
  <c r="AG128" i="1"/>
  <c r="AH128" i="1"/>
  <c r="AG127" i="1"/>
  <c r="AH127" i="1"/>
  <c r="AG126" i="1"/>
  <c r="AH126" i="1"/>
  <c r="AG125" i="1"/>
  <c r="AH125" i="1"/>
  <c r="AG124" i="1"/>
  <c r="AH124" i="1"/>
  <c r="AG123" i="1"/>
  <c r="AH123" i="1"/>
  <c r="AG122" i="1"/>
  <c r="AH122" i="1"/>
  <c r="AG121" i="1"/>
  <c r="AH121" i="1"/>
  <c r="AG120" i="1"/>
  <c r="AH120" i="1"/>
  <c r="AG119" i="1"/>
  <c r="AH119" i="1"/>
  <c r="AG118" i="1"/>
  <c r="AH118" i="1"/>
  <c r="AG117" i="1"/>
  <c r="AH117" i="1"/>
  <c r="AG116" i="1"/>
  <c r="AH116" i="1"/>
  <c r="AG115" i="1"/>
  <c r="AH115" i="1"/>
  <c r="AG114" i="1"/>
  <c r="AH114" i="1"/>
  <c r="AG113" i="1"/>
  <c r="AH113" i="1"/>
  <c r="AG112" i="1"/>
  <c r="AH112" i="1"/>
  <c r="AG111" i="1"/>
  <c r="AH111" i="1"/>
  <c r="AG110" i="1"/>
  <c r="AH110" i="1"/>
  <c r="AG109" i="1"/>
  <c r="AH109" i="1"/>
  <c r="AG108" i="1"/>
  <c r="AH108" i="1"/>
  <c r="AG107" i="1"/>
  <c r="AH107" i="1"/>
  <c r="AE107" i="1"/>
  <c r="AJ107" i="1"/>
  <c r="AG106" i="1"/>
  <c r="AH106" i="1"/>
  <c r="AG105" i="1"/>
  <c r="AH105" i="1"/>
  <c r="AF105" i="1"/>
  <c r="AG104" i="1"/>
  <c r="AH104" i="1"/>
  <c r="AG103" i="1"/>
  <c r="AH103" i="1"/>
  <c r="AF103" i="1"/>
  <c r="AK103" i="1"/>
  <c r="AG102" i="1"/>
  <c r="AH102" i="1"/>
  <c r="AG101" i="1"/>
  <c r="AH101" i="1"/>
  <c r="AG100" i="1"/>
  <c r="AH100" i="1"/>
  <c r="AG99" i="1"/>
  <c r="AH99" i="1"/>
  <c r="AG98" i="1"/>
  <c r="AH98" i="1"/>
  <c r="AG97" i="1"/>
  <c r="AH97" i="1"/>
  <c r="AG96" i="1"/>
  <c r="AH96" i="1"/>
  <c r="AG95" i="1"/>
  <c r="AH95" i="1"/>
  <c r="AG94" i="1"/>
  <c r="AH94" i="1"/>
  <c r="AG93" i="1"/>
  <c r="AH93" i="1"/>
  <c r="AG92" i="1"/>
  <c r="AH92" i="1"/>
  <c r="AG91" i="1"/>
  <c r="AH91" i="1"/>
  <c r="AG90" i="1"/>
  <c r="AH90" i="1"/>
  <c r="AG89" i="1"/>
  <c r="AH89" i="1"/>
  <c r="AG88" i="1"/>
  <c r="AH88" i="1"/>
  <c r="AG87" i="1"/>
  <c r="AH87" i="1"/>
  <c r="AG86" i="1"/>
  <c r="AH86" i="1"/>
  <c r="AG85" i="1"/>
  <c r="AH85" i="1"/>
  <c r="AE85" i="1"/>
  <c r="AJ85" i="1"/>
  <c r="AG84" i="1"/>
  <c r="AH84" i="1"/>
  <c r="AG83" i="1"/>
  <c r="AH83" i="1"/>
  <c r="AG82" i="1"/>
  <c r="AH82" i="1"/>
  <c r="AG81" i="1"/>
  <c r="AH81" i="1"/>
  <c r="AG80" i="1"/>
  <c r="AH80" i="1"/>
  <c r="AG79" i="1"/>
  <c r="AH79" i="1"/>
  <c r="AG78" i="1"/>
  <c r="AH78" i="1"/>
  <c r="AG77" i="1"/>
  <c r="AH77" i="1"/>
  <c r="AG76" i="1"/>
  <c r="AH76" i="1"/>
  <c r="AG75" i="1"/>
  <c r="AH75" i="1"/>
  <c r="AE75" i="1"/>
  <c r="AJ75" i="1"/>
  <c r="AG74" i="1"/>
  <c r="AH74" i="1"/>
  <c r="AG73" i="1"/>
  <c r="AH73" i="1"/>
  <c r="AF73" i="1"/>
  <c r="AG72" i="1"/>
  <c r="AH72" i="1"/>
  <c r="AG71" i="1"/>
  <c r="AH71" i="1"/>
  <c r="AE71" i="1"/>
  <c r="AJ71" i="1"/>
  <c r="AG70" i="1"/>
  <c r="AH70" i="1"/>
  <c r="AG69" i="1"/>
  <c r="AH69" i="1"/>
  <c r="AG68" i="1"/>
  <c r="AH68" i="1"/>
  <c r="AG67" i="1"/>
  <c r="AH67" i="1"/>
  <c r="AG66" i="1"/>
  <c r="AH66" i="1"/>
  <c r="AG65" i="1"/>
  <c r="AH65" i="1"/>
  <c r="AG64" i="1"/>
  <c r="AH64" i="1"/>
  <c r="AG63" i="1"/>
  <c r="AH63" i="1"/>
  <c r="AE63" i="1"/>
  <c r="AG62" i="1"/>
  <c r="AH62" i="1"/>
  <c r="AG61" i="1"/>
  <c r="AH61" i="1"/>
  <c r="AG60" i="1"/>
  <c r="AH60" i="1"/>
  <c r="AG59" i="1"/>
  <c r="AH59" i="1"/>
  <c r="AG58" i="1"/>
  <c r="AH58" i="1"/>
  <c r="AG57" i="1"/>
  <c r="AH57" i="1"/>
  <c r="AG56" i="1"/>
  <c r="AH56" i="1"/>
  <c r="AG55" i="1"/>
  <c r="AH55" i="1"/>
  <c r="AG54" i="1"/>
  <c r="AH54" i="1"/>
  <c r="AG53" i="1"/>
  <c r="AH53" i="1"/>
  <c r="AG52" i="1"/>
  <c r="AH52" i="1"/>
  <c r="AG51" i="1"/>
  <c r="AH51" i="1"/>
  <c r="AG50" i="1"/>
  <c r="AH50" i="1"/>
  <c r="AG49" i="1"/>
  <c r="AH49" i="1"/>
  <c r="AG48" i="1"/>
  <c r="AH48" i="1"/>
  <c r="AG47" i="1"/>
  <c r="AH47" i="1"/>
  <c r="AF47" i="1"/>
  <c r="AG46" i="1"/>
  <c r="AH46" i="1"/>
  <c r="AG45" i="1"/>
  <c r="AH45" i="1"/>
  <c r="AG44" i="1"/>
  <c r="AH44" i="1"/>
  <c r="AG43" i="1"/>
  <c r="AH43" i="1"/>
  <c r="AG42" i="1"/>
  <c r="AH42" i="1"/>
  <c r="AG41" i="1"/>
  <c r="AH41" i="1"/>
  <c r="AG40" i="1"/>
  <c r="AH40" i="1"/>
  <c r="AG39" i="1"/>
  <c r="AH39" i="1"/>
  <c r="AG38" i="1"/>
  <c r="AH38" i="1"/>
  <c r="AG37" i="1"/>
  <c r="AH37" i="1"/>
  <c r="AG36" i="1"/>
  <c r="AH36" i="1"/>
  <c r="AG35" i="1"/>
  <c r="AE35" i="1" s="1"/>
  <c r="AH35" i="1"/>
  <c r="AG34" i="1"/>
  <c r="AF34" i="1" s="1"/>
  <c r="AH34" i="1"/>
  <c r="AG33" i="1"/>
  <c r="AH33" i="1"/>
  <c r="AG32" i="1"/>
  <c r="AF32" i="1" s="1"/>
  <c r="AH32" i="1"/>
  <c r="AG31" i="1"/>
  <c r="AF31" i="1" s="1"/>
  <c r="AH31" i="1"/>
  <c r="AG30" i="1"/>
  <c r="AF30" i="1" s="1"/>
  <c r="AH30" i="1"/>
  <c r="AG5" i="1"/>
  <c r="AH5" i="1"/>
  <c r="AG4" i="1"/>
  <c r="AH4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G3" i="1"/>
  <c r="AH3" i="1"/>
  <c r="AF118" i="1"/>
  <c r="AE33" i="1"/>
  <c r="AI33" i="1"/>
  <c r="AA33" i="1" s="1"/>
  <c r="AE61" i="1"/>
  <c r="AJ61" i="1"/>
  <c r="AE162" i="1"/>
  <c r="AJ162" i="1"/>
  <c r="AF126" i="1"/>
  <c r="AF59" i="1"/>
  <c r="AF79" i="1"/>
  <c r="AF143" i="1"/>
  <c r="AK143" i="1"/>
  <c r="AF128" i="1"/>
  <c r="AE4" i="1"/>
  <c r="AI4" i="1"/>
  <c r="AE39" i="1"/>
  <c r="AE59" i="1"/>
  <c r="AJ59" i="1"/>
  <c r="AE68" i="1"/>
  <c r="AI68" i="1"/>
  <c r="AE72" i="1"/>
  <c r="AE76" i="1"/>
  <c r="AE89" i="1"/>
  <c r="AJ89" i="1"/>
  <c r="AF107" i="1"/>
  <c r="AE111" i="1"/>
  <c r="AJ111" i="1"/>
  <c r="AF137" i="1"/>
  <c r="AK137" i="1"/>
  <c r="AF141" i="1"/>
  <c r="AE145" i="1"/>
  <c r="AE147" i="1"/>
  <c r="AE165" i="1"/>
  <c r="AE167" i="1"/>
  <c r="AE5" i="1"/>
  <c r="AJ5" i="1"/>
  <c r="AE40" i="1"/>
  <c r="AJ40" i="1"/>
  <c r="AE50" i="1"/>
  <c r="AF75" i="1"/>
  <c r="AE79" i="1"/>
  <c r="AJ79" i="1"/>
  <c r="AE90" i="1"/>
  <c r="AE94" i="1"/>
  <c r="AE96" i="1"/>
  <c r="AE108" i="1"/>
  <c r="AF110" i="1"/>
  <c r="AE116" i="1"/>
  <c r="AF134" i="1"/>
  <c r="AE51" i="1"/>
  <c r="AJ51" i="1"/>
  <c r="AF53" i="1"/>
  <c r="AK53" i="1"/>
  <c r="AF55" i="1"/>
  <c r="AL55" i="1"/>
  <c r="AF77" i="1"/>
  <c r="AE86" i="1"/>
  <c r="AF149" i="1"/>
  <c r="AL149" i="1"/>
  <c r="AE31" i="1"/>
  <c r="AJ31" i="1" s="1"/>
  <c r="AF35" i="1"/>
  <c r="AK35" i="1" s="1"/>
  <c r="AB35" i="1" s="1"/>
  <c r="AF74" i="1"/>
  <c r="AF81" i="1"/>
  <c r="AK81" i="1"/>
  <c r="AE100" i="1"/>
  <c r="AE102" i="1"/>
  <c r="AJ102" i="1"/>
  <c r="AF106" i="1"/>
  <c r="AE143" i="1"/>
  <c r="AE36" i="1"/>
  <c r="AJ36" i="1" s="1"/>
  <c r="AF43" i="1"/>
  <c r="AL43" i="1"/>
  <c r="AE45" i="1"/>
  <c r="AJ45" i="1"/>
  <c r="AE49" i="1"/>
  <c r="AJ49" i="1"/>
  <c r="AF51" i="1"/>
  <c r="AL51" i="1"/>
  <c r="AE56" i="1"/>
  <c r="AJ56" i="1"/>
  <c r="AF58" i="1"/>
  <c r="AL58" i="1"/>
  <c r="AF63" i="1"/>
  <c r="AK63" i="1"/>
  <c r="AF67" i="1"/>
  <c r="AK67" i="1"/>
  <c r="AE78" i="1"/>
  <c r="AE82" i="1"/>
  <c r="AF85" i="1"/>
  <c r="AK85" i="1"/>
  <c r="AF89" i="1"/>
  <c r="AE93" i="1"/>
  <c r="AE99" i="1"/>
  <c r="AJ99" i="1"/>
  <c r="AE120" i="1"/>
  <c r="AE124" i="1"/>
  <c r="AE132" i="1"/>
  <c r="AF139" i="1"/>
  <c r="AK139" i="1"/>
  <c r="AF150" i="1"/>
  <c r="AK150" i="1"/>
  <c r="AF154" i="1"/>
  <c r="AF166" i="1"/>
  <c r="AK166" i="1"/>
  <c r="AF186" i="1"/>
  <c r="AL186" i="1"/>
  <c r="AL137" i="1"/>
  <c r="AK141" i="1"/>
  <c r="AL141" i="1"/>
  <c r="AL166" i="1"/>
  <c r="AE32" i="1"/>
  <c r="AJ32" i="1"/>
  <c r="AF33" i="1"/>
  <c r="AL33" i="1" s="1"/>
  <c r="AF38" i="1"/>
  <c r="AL38" i="1"/>
  <c r="AF41" i="1"/>
  <c r="AK41" i="1"/>
  <c r="AE43" i="1"/>
  <c r="AJ43" i="1"/>
  <c r="AF46" i="1"/>
  <c r="AL46" i="1"/>
  <c r="AE48" i="1"/>
  <c r="AJ48" i="1"/>
  <c r="AF49" i="1"/>
  <c r="AK49" i="1"/>
  <c r="AI59" i="1"/>
  <c r="AA59" i="1"/>
  <c r="AE64" i="1"/>
  <c r="AE70" i="1"/>
  <c r="AJ70" i="1"/>
  <c r="AF71" i="1"/>
  <c r="AI75" i="1"/>
  <c r="AA75" i="1"/>
  <c r="AF82" i="1"/>
  <c r="AK82" i="1"/>
  <c r="AE84" i="1"/>
  <c r="AJ84" i="1"/>
  <c r="AE92" i="1"/>
  <c r="AF95" i="1"/>
  <c r="AI107" i="1"/>
  <c r="AF109" i="1"/>
  <c r="AK109" i="1"/>
  <c r="AF122" i="1"/>
  <c r="AE126" i="1"/>
  <c r="AE137" i="1"/>
  <c r="AJ137" i="1"/>
  <c r="AE139" i="1"/>
  <c r="AJ139" i="1"/>
  <c r="AE141" i="1"/>
  <c r="AL143" i="1"/>
  <c r="AE149" i="1"/>
  <c r="AJ149" i="1"/>
  <c r="AE151" i="1"/>
  <c r="AJ151" i="1"/>
  <c r="AE155" i="1"/>
  <c r="AE186" i="1"/>
  <c r="AF4" i="1"/>
  <c r="AK4" i="1"/>
  <c r="AF37" i="1"/>
  <c r="AL37" i="1" s="1"/>
  <c r="AK37" i="1"/>
  <c r="AF39" i="1"/>
  <c r="AF42" i="1"/>
  <c r="AE44" i="1"/>
  <c r="AJ44" i="1"/>
  <c r="AF45" i="1"/>
  <c r="AL45" i="1"/>
  <c r="AE47" i="1"/>
  <c r="AJ47" i="1"/>
  <c r="AE53" i="1"/>
  <c r="AJ53" i="1"/>
  <c r="AF61" i="1"/>
  <c r="AE67" i="1"/>
  <c r="AJ67" i="1"/>
  <c r="AF91" i="1"/>
  <c r="AK91" i="1"/>
  <c r="AF93" i="1"/>
  <c r="AF99" i="1"/>
  <c r="AE103" i="1"/>
  <c r="AJ103" i="1"/>
  <c r="AE104" i="1"/>
  <c r="AF120" i="1"/>
  <c r="AF130" i="1"/>
  <c r="AL130" i="1"/>
  <c r="AE134" i="1"/>
  <c r="AI134" i="1"/>
  <c r="AE140" i="1"/>
  <c r="AF145" i="1"/>
  <c r="AE158" i="1"/>
  <c r="AJ158" i="1"/>
  <c r="AF162" i="1"/>
  <c r="AK162" i="1"/>
  <c r="AF168" i="1"/>
  <c r="AL168" i="1"/>
  <c r="AL67" i="1"/>
  <c r="AB67" i="1"/>
  <c r="AE73" i="1"/>
  <c r="AJ73" i="1"/>
  <c r="AE77" i="1"/>
  <c r="AE81" i="1"/>
  <c r="AJ81" i="1"/>
  <c r="AI89" i="1"/>
  <c r="AA89" i="1"/>
  <c r="AL103" i="1"/>
  <c r="AK105" i="1"/>
  <c r="AL105" i="1"/>
  <c r="AF5" i="1"/>
  <c r="AK5" i="1"/>
  <c r="AK39" i="1"/>
  <c r="AL39" i="1"/>
  <c r="AJ63" i="1"/>
  <c r="AI63" i="1"/>
  <c r="AI73" i="1"/>
  <c r="AJ77" i="1"/>
  <c r="AI77" i="1"/>
  <c r="AF83" i="1"/>
  <c r="AE83" i="1"/>
  <c r="AF87" i="1"/>
  <c r="AE87" i="1"/>
  <c r="AL91" i="1"/>
  <c r="AK93" i="1"/>
  <c r="AL93" i="1"/>
  <c r="AK107" i="1"/>
  <c r="AL107" i="1"/>
  <c r="AF124" i="1"/>
  <c r="AL124" i="1"/>
  <c r="AK145" i="1"/>
  <c r="AL145" i="1"/>
  <c r="AF158" i="1"/>
  <c r="AK168" i="1"/>
  <c r="AJ33" i="1"/>
  <c r="AK55" i="1"/>
  <c r="AF57" i="1"/>
  <c r="AK57" i="1"/>
  <c r="AE57" i="1"/>
  <c r="AK75" i="1"/>
  <c r="AL75" i="1"/>
  <c r="AK79" i="1"/>
  <c r="AL79" i="1"/>
  <c r="AK95" i="1"/>
  <c r="AL95" i="1"/>
  <c r="AF97" i="1"/>
  <c r="AE97" i="1"/>
  <c r="AF101" i="1"/>
  <c r="AE101" i="1"/>
  <c r="AE3" i="1"/>
  <c r="AI3" i="1"/>
  <c r="AL35" i="1"/>
  <c r="AE41" i="1"/>
  <c r="AL49" i="1"/>
  <c r="AE55" i="1"/>
  <c r="AK59" i="1"/>
  <c r="AL59" i="1"/>
  <c r="AF66" i="1"/>
  <c r="AK66" i="1"/>
  <c r="AE66" i="1"/>
  <c r="AI66" i="1"/>
  <c r="AL81" i="1"/>
  <c r="AK89" i="1"/>
  <c r="AL89" i="1"/>
  <c r="AE95" i="1"/>
  <c r="AE105" i="1"/>
  <c r="AE109" i="1"/>
  <c r="AE37" i="1"/>
  <c r="AJ37" i="1" s="1"/>
  <c r="AA37" i="1" s="1"/>
  <c r="AI43" i="1"/>
  <c r="AA43" i="1"/>
  <c r="AK47" i="1"/>
  <c r="AL47" i="1"/>
  <c r="AK51" i="1"/>
  <c r="AF65" i="1"/>
  <c r="AE65" i="1"/>
  <c r="AF69" i="1"/>
  <c r="AE69" i="1"/>
  <c r="AK73" i="1"/>
  <c r="AL73" i="1"/>
  <c r="AK77" i="1"/>
  <c r="AL77" i="1"/>
  <c r="AE91" i="1"/>
  <c r="AF98" i="1"/>
  <c r="AK98" i="1"/>
  <c r="AE98" i="1"/>
  <c r="AA107" i="1"/>
  <c r="AF116" i="1"/>
  <c r="AL116" i="1"/>
  <c r="AF132" i="1"/>
  <c r="AL132" i="1"/>
  <c r="AF147" i="1"/>
  <c r="AL150" i="1"/>
  <c r="AJ165" i="1"/>
  <c r="AI165" i="1"/>
  <c r="AE168" i="1"/>
  <c r="AE30" i="1"/>
  <c r="AI30" i="1" s="1"/>
  <c r="AF36" i="1"/>
  <c r="AK36" i="1" s="1"/>
  <c r="AE38" i="1"/>
  <c r="AJ38" i="1"/>
  <c r="AF40" i="1"/>
  <c r="AK40" i="1"/>
  <c r="AE42" i="1"/>
  <c r="AJ42" i="1"/>
  <c r="AF44" i="1"/>
  <c r="AL44" i="1"/>
  <c r="AE46" i="1"/>
  <c r="AJ46" i="1"/>
  <c r="AF48" i="1"/>
  <c r="AL48" i="1"/>
  <c r="AI53" i="1"/>
  <c r="AA53" i="1"/>
  <c r="AI61" i="1"/>
  <c r="AA61" i="1"/>
  <c r="AI71" i="1"/>
  <c r="AA71" i="1"/>
  <c r="AE74" i="1"/>
  <c r="AJ74" i="1"/>
  <c r="AI85" i="1"/>
  <c r="AA85" i="1"/>
  <c r="AF90" i="1"/>
  <c r="AL90" i="1"/>
  <c r="AI99" i="1"/>
  <c r="AA99" i="1"/>
  <c r="AE106" i="1"/>
  <c r="AJ106" i="1"/>
  <c r="AE110" i="1"/>
  <c r="AJ110" i="1"/>
  <c r="AE113" i="1"/>
  <c r="AE118" i="1"/>
  <c r="AF144" i="1"/>
  <c r="AL144" i="1"/>
  <c r="AF148" i="1"/>
  <c r="AE88" i="1"/>
  <c r="AI88" i="1"/>
  <c r="AE128" i="1"/>
  <c r="AF136" i="1"/>
  <c r="AL136" i="1"/>
  <c r="AF140" i="1"/>
  <c r="AF142" i="1"/>
  <c r="AE148" i="1"/>
  <c r="AJ148" i="1"/>
  <c r="AE153" i="1"/>
  <c r="AE157" i="1"/>
  <c r="AE159" i="1"/>
  <c r="AJ159" i="1"/>
  <c r="AI162" i="1"/>
  <c r="AA162" i="1"/>
  <c r="AE166" i="1"/>
  <c r="AF184" i="1"/>
  <c r="AE80" i="1"/>
  <c r="AI80" i="1"/>
  <c r="AE122" i="1"/>
  <c r="AI122" i="1"/>
  <c r="AE130" i="1"/>
  <c r="AI130" i="1"/>
  <c r="AE150" i="1"/>
  <c r="AE154" i="1"/>
  <c r="AE161" i="1"/>
  <c r="AE163" i="1"/>
  <c r="AJ163" i="1"/>
  <c r="AJ72" i="1"/>
  <c r="AI72" i="1"/>
  <c r="AJ50" i="1"/>
  <c r="AI50" i="1"/>
  <c r="AJ88" i="1"/>
  <c r="AJ104" i="1"/>
  <c r="AI104" i="1"/>
  <c r="AJ64" i="1"/>
  <c r="AI64" i="1"/>
  <c r="AJ96" i="1"/>
  <c r="AI96" i="1"/>
  <c r="AL42" i="1"/>
  <c r="AK42" i="1"/>
  <c r="AK46" i="1"/>
  <c r="AF52" i="1"/>
  <c r="AE58" i="1"/>
  <c r="AF60" i="1"/>
  <c r="AF64" i="1"/>
  <c r="AJ68" i="1"/>
  <c r="AF72" i="1"/>
  <c r="AJ76" i="1"/>
  <c r="AI76" i="1"/>
  <c r="AF80" i="1"/>
  <c r="AI84" i="1"/>
  <c r="AF88" i="1"/>
  <c r="AJ92" i="1"/>
  <c r="AI92" i="1"/>
  <c r="AF96" i="1"/>
  <c r="AJ100" i="1"/>
  <c r="AI100" i="1"/>
  <c r="AF104" i="1"/>
  <c r="AJ108" i="1"/>
  <c r="AI108" i="1"/>
  <c r="AL110" i="1"/>
  <c r="AK110" i="1"/>
  <c r="AF114" i="1"/>
  <c r="AE114" i="1"/>
  <c r="AE115" i="1"/>
  <c r="AF115" i="1"/>
  <c r="AI118" i="1"/>
  <c r="AJ118" i="1"/>
  <c r="AE119" i="1"/>
  <c r="AF119" i="1"/>
  <c r="AE123" i="1"/>
  <c r="AF123" i="1"/>
  <c r="AI126" i="1"/>
  <c r="AJ126" i="1"/>
  <c r="AE127" i="1"/>
  <c r="AF127" i="1"/>
  <c r="AE131" i="1"/>
  <c r="AF131" i="1"/>
  <c r="AE135" i="1"/>
  <c r="AF135" i="1"/>
  <c r="AJ140" i="1"/>
  <c r="AI140" i="1"/>
  <c r="AL82" i="1"/>
  <c r="AJ86" i="1"/>
  <c r="AI86" i="1"/>
  <c r="AJ94" i="1"/>
  <c r="AI94" i="1"/>
  <c r="AL98" i="1"/>
  <c r="AI102" i="1"/>
  <c r="AL118" i="1"/>
  <c r="AK118" i="1"/>
  <c r="AL126" i="1"/>
  <c r="AK126" i="1"/>
  <c r="AL134" i="1"/>
  <c r="AK134" i="1"/>
  <c r="AF146" i="1"/>
  <c r="AE146" i="1"/>
  <c r="AE164" i="1"/>
  <c r="AF164" i="1"/>
  <c r="AF3" i="1"/>
  <c r="AI5" i="1"/>
  <c r="AA5" i="1"/>
  <c r="AI32" i="1"/>
  <c r="AA32" i="1"/>
  <c r="AI40" i="1"/>
  <c r="AA40" i="1"/>
  <c r="AE52" i="1"/>
  <c r="AF54" i="1"/>
  <c r="AK58" i="1"/>
  <c r="AB58" i="1"/>
  <c r="AE60" i="1"/>
  <c r="AF62" i="1"/>
  <c r="AJ66" i="1"/>
  <c r="AF70" i="1"/>
  <c r="AF78" i="1"/>
  <c r="AB81" i="1"/>
  <c r="AJ82" i="1"/>
  <c r="AI82" i="1"/>
  <c r="AF86" i="1"/>
  <c r="AJ90" i="1"/>
  <c r="AI90" i="1"/>
  <c r="AF94" i="1"/>
  <c r="AJ98" i="1"/>
  <c r="AI98" i="1"/>
  <c r="AF102" i="1"/>
  <c r="AL120" i="1"/>
  <c r="AK120" i="1"/>
  <c r="AL128" i="1"/>
  <c r="AK128" i="1"/>
  <c r="AK132" i="1"/>
  <c r="AJ143" i="1"/>
  <c r="AI143" i="1"/>
  <c r="AF182" i="1"/>
  <c r="AE182" i="1"/>
  <c r="AI56" i="1"/>
  <c r="AI70" i="1"/>
  <c r="AL74" i="1"/>
  <c r="AK74" i="1"/>
  <c r="AJ78" i="1"/>
  <c r="AI78" i="1"/>
  <c r="AL106" i="1"/>
  <c r="AK106" i="1"/>
  <c r="AL122" i="1"/>
  <c r="AK122" i="1"/>
  <c r="AK154" i="1"/>
  <c r="AL154" i="1"/>
  <c r="AF50" i="1"/>
  <c r="AE54" i="1"/>
  <c r="AF56" i="1"/>
  <c r="AE62" i="1"/>
  <c r="AF68" i="1"/>
  <c r="AF76" i="1"/>
  <c r="AF84" i="1"/>
  <c r="AF92" i="1"/>
  <c r="AF100" i="1"/>
  <c r="AB103" i="1"/>
  <c r="AF108" i="1"/>
  <c r="AI111" i="1"/>
  <c r="AA111" i="1"/>
  <c r="AF112" i="1"/>
  <c r="AE112" i="1"/>
  <c r="AI116" i="1"/>
  <c r="AJ116" i="1"/>
  <c r="AE117" i="1"/>
  <c r="AF117" i="1"/>
  <c r="AI120" i="1"/>
  <c r="AJ120" i="1"/>
  <c r="AE121" i="1"/>
  <c r="AF121" i="1"/>
  <c r="AI124" i="1"/>
  <c r="AJ124" i="1"/>
  <c r="AE125" i="1"/>
  <c r="AF125" i="1"/>
  <c r="AI128" i="1"/>
  <c r="AJ128" i="1"/>
  <c r="AE129" i="1"/>
  <c r="AF129" i="1"/>
  <c r="AI132" i="1"/>
  <c r="AJ132" i="1"/>
  <c r="AE133" i="1"/>
  <c r="AF133" i="1"/>
  <c r="AF138" i="1"/>
  <c r="AE138" i="1"/>
  <c r="AF111" i="1"/>
  <c r="AF113" i="1"/>
  <c r="AJ141" i="1"/>
  <c r="AI141" i="1"/>
  <c r="AE160" i="1"/>
  <c r="AF160" i="1"/>
  <c r="AF172" i="1"/>
  <c r="AE172" i="1"/>
  <c r="AE136" i="1"/>
  <c r="AE144" i="1"/>
  <c r="AJ147" i="1"/>
  <c r="AI147" i="1"/>
  <c r="AJ155" i="1"/>
  <c r="AI155" i="1"/>
  <c r="AE156" i="1"/>
  <c r="AF156" i="1"/>
  <c r="AF174" i="1"/>
  <c r="AE174" i="1"/>
  <c r="AK136" i="1"/>
  <c r="AB136" i="1"/>
  <c r="AE142" i="1"/>
  <c r="AJ145" i="1"/>
  <c r="AI145" i="1"/>
  <c r="AI151" i="1"/>
  <c r="AE152" i="1"/>
  <c r="AF152" i="1"/>
  <c r="AJ167" i="1"/>
  <c r="AI167" i="1"/>
  <c r="AF180" i="1"/>
  <c r="AE180" i="1"/>
  <c r="AB143" i="1"/>
  <c r="AB145" i="1"/>
  <c r="AF170" i="1"/>
  <c r="AE170" i="1"/>
  <c r="AF178" i="1"/>
  <c r="AE178" i="1"/>
  <c r="AF176" i="1"/>
  <c r="AE176" i="1"/>
  <c r="AF151" i="1"/>
  <c r="AF153" i="1"/>
  <c r="AF155" i="1"/>
  <c r="AF157" i="1"/>
  <c r="AF159" i="1"/>
  <c r="AF161" i="1"/>
  <c r="AF163" i="1"/>
  <c r="AF165" i="1"/>
  <c r="AF167" i="1"/>
  <c r="AE171" i="1"/>
  <c r="AF171" i="1"/>
  <c r="AE175" i="1"/>
  <c r="AF175" i="1"/>
  <c r="AE179" i="1"/>
  <c r="AF179" i="1"/>
  <c r="AE183" i="1"/>
  <c r="AF183" i="1"/>
  <c r="AI186" i="1"/>
  <c r="AJ186" i="1"/>
  <c r="AE187" i="1"/>
  <c r="AF187" i="1"/>
  <c r="AK186" i="1"/>
  <c r="AB186" i="1"/>
  <c r="AE169" i="1"/>
  <c r="AF169" i="1"/>
  <c r="AE173" i="1"/>
  <c r="AF173" i="1"/>
  <c r="AE177" i="1"/>
  <c r="AF177" i="1"/>
  <c r="AE181" i="1"/>
  <c r="AF181" i="1"/>
  <c r="AI184" i="1"/>
  <c r="AJ184" i="1"/>
  <c r="AE185" i="1"/>
  <c r="AF185" i="1"/>
  <c r="AE188" i="1"/>
  <c r="AF188" i="1"/>
  <c r="AK44" i="1"/>
  <c r="AB44" i="1"/>
  <c r="AK43" i="1"/>
  <c r="AI38" i="1"/>
  <c r="AA38" i="1"/>
  <c r="AI36" i="1"/>
  <c r="AA36" i="1" s="1"/>
  <c r="AK45" i="1"/>
  <c r="AL4" i="1"/>
  <c r="AB4" i="1"/>
  <c r="AJ4" i="1"/>
  <c r="AA4" i="1"/>
  <c r="AI74" i="1"/>
  <c r="AL139" i="1"/>
  <c r="AB139" i="1"/>
  <c r="AI45" i="1"/>
  <c r="AK144" i="1"/>
  <c r="AB144" i="1"/>
  <c r="AI148" i="1"/>
  <c r="AI46" i="1"/>
  <c r="AA46" i="1"/>
  <c r="AB43" i="1"/>
  <c r="AI51" i="1"/>
  <c r="AA51" i="1"/>
  <c r="AB95" i="1"/>
  <c r="AB55" i="1"/>
  <c r="AB105" i="1"/>
  <c r="AI163" i="1"/>
  <c r="AJ122" i="1"/>
  <c r="AJ80" i="1"/>
  <c r="AB59" i="1"/>
  <c r="AB75" i="1"/>
  <c r="AI79" i="1"/>
  <c r="AA79" i="1"/>
  <c r="AB141" i="1"/>
  <c r="AB166" i="1"/>
  <c r="AA92" i="1"/>
  <c r="AA63" i="1"/>
  <c r="AB39" i="1"/>
  <c r="AB137" i="1"/>
  <c r="AJ39" i="1"/>
  <c r="AI39" i="1"/>
  <c r="AA39" i="1"/>
  <c r="AB49" i="1"/>
  <c r="AB51" i="1"/>
  <c r="AB168" i="1"/>
  <c r="AB93" i="1"/>
  <c r="AA151" i="1"/>
  <c r="AL66" i="1"/>
  <c r="AA76" i="1"/>
  <c r="AA68" i="1"/>
  <c r="AL5" i="1"/>
  <c r="AL40" i="1"/>
  <c r="AB40" i="1"/>
  <c r="AI103" i="1"/>
  <c r="AA103" i="1"/>
  <c r="AK149" i="1"/>
  <c r="AB149" i="1"/>
  <c r="AB89" i="1"/>
  <c r="AI158" i="1"/>
  <c r="AA158" i="1"/>
  <c r="AL53" i="1"/>
  <c r="AB53" i="1"/>
  <c r="AA186" i="1"/>
  <c r="AI139" i="1"/>
  <c r="AI159" i="1"/>
  <c r="AJ134" i="1"/>
  <c r="AI67" i="1"/>
  <c r="AA67" i="1"/>
  <c r="AL63" i="1"/>
  <c r="AB63" i="1"/>
  <c r="AL85" i="1"/>
  <c r="AB85" i="1"/>
  <c r="AL109" i="1"/>
  <c r="AB109" i="1"/>
  <c r="AI49" i="1"/>
  <c r="AA49" i="1"/>
  <c r="AL41" i="1"/>
  <c r="AB41" i="1"/>
  <c r="AL162" i="1"/>
  <c r="AB162" i="1"/>
  <c r="AB82" i="1"/>
  <c r="AA147" i="1"/>
  <c r="AI42" i="1"/>
  <c r="AA42" i="1"/>
  <c r="AA100" i="1"/>
  <c r="AI47" i="1"/>
  <c r="AA47" i="1"/>
  <c r="AB79" i="1"/>
  <c r="AJ93" i="1"/>
  <c r="AI93" i="1"/>
  <c r="AA93" i="1"/>
  <c r="AK99" i="1"/>
  <c r="AL99" i="1"/>
  <c r="AI149" i="1"/>
  <c r="AA149" i="1"/>
  <c r="AB154" i="1"/>
  <c r="AI44" i="1"/>
  <c r="AA44" i="1"/>
  <c r="AB134" i="1"/>
  <c r="AB118" i="1"/>
  <c r="AB98" i="1"/>
  <c r="AA86" i="1"/>
  <c r="AA140" i="1"/>
  <c r="AJ130" i="1"/>
  <c r="AA108" i="1"/>
  <c r="AK38" i="1"/>
  <c r="AB38" i="1"/>
  <c r="AI81" i="1"/>
  <c r="AA81" i="1"/>
  <c r="AA165" i="1"/>
  <c r="AB77" i="1"/>
  <c r="AB47" i="1"/>
  <c r="AB107" i="1"/>
  <c r="AB91" i="1"/>
  <c r="AA73" i="1"/>
  <c r="AA45" i="1"/>
  <c r="AK61" i="1"/>
  <c r="AL61" i="1"/>
  <c r="AA145" i="1"/>
  <c r="AI137" i="1"/>
  <c r="AA137" i="1"/>
  <c r="AA155" i="1"/>
  <c r="AK130" i="1"/>
  <c r="AK124" i="1"/>
  <c r="AI106" i="1"/>
  <c r="AA141" i="1"/>
  <c r="AI48" i="1"/>
  <c r="AA48" i="1"/>
  <c r="AB126" i="1"/>
  <c r="AA102" i="1"/>
  <c r="AA94" i="1"/>
  <c r="AB110" i="1"/>
  <c r="AA84" i="1"/>
  <c r="AB150" i="1"/>
  <c r="AB73" i="1"/>
  <c r="AB45" i="1"/>
  <c r="AK71" i="1"/>
  <c r="AL71" i="1"/>
  <c r="AJ3" i="1"/>
  <c r="AA3" i="1"/>
  <c r="AJ157" i="1"/>
  <c r="AI157" i="1"/>
  <c r="AL148" i="1"/>
  <c r="AK148" i="1"/>
  <c r="AK97" i="1"/>
  <c r="AL97" i="1"/>
  <c r="AK158" i="1"/>
  <c r="AL158" i="1"/>
  <c r="AI83" i="1"/>
  <c r="AJ83" i="1"/>
  <c r="AL57" i="1"/>
  <c r="AB57" i="1"/>
  <c r="AK116" i="1"/>
  <c r="AA80" i="1"/>
  <c r="AB42" i="1"/>
  <c r="AA96" i="1"/>
  <c r="AK48" i="1"/>
  <c r="AB48" i="1"/>
  <c r="AA104" i="1"/>
  <c r="AA50" i="1"/>
  <c r="AA72" i="1"/>
  <c r="AJ166" i="1"/>
  <c r="AI166" i="1"/>
  <c r="AA166" i="1"/>
  <c r="AJ153" i="1"/>
  <c r="AI153" i="1"/>
  <c r="AJ168" i="1"/>
  <c r="AI168" i="1"/>
  <c r="AA168" i="1"/>
  <c r="AI69" i="1"/>
  <c r="AJ69" i="1"/>
  <c r="AJ109" i="1"/>
  <c r="AI109" i="1"/>
  <c r="AA109" i="1"/>
  <c r="AI101" i="1"/>
  <c r="AJ101" i="1"/>
  <c r="AK83" i="1"/>
  <c r="AL83" i="1"/>
  <c r="AL184" i="1"/>
  <c r="AK184" i="1"/>
  <c r="AK65" i="1"/>
  <c r="AL65" i="1"/>
  <c r="AJ55" i="1"/>
  <c r="AI55" i="1"/>
  <c r="AI110" i="1"/>
  <c r="AA110" i="1"/>
  <c r="AK90" i="1"/>
  <c r="AB90" i="1"/>
  <c r="AJ161" i="1"/>
  <c r="AI161" i="1"/>
  <c r="AA161" i="1"/>
  <c r="AK147" i="1"/>
  <c r="AL147" i="1"/>
  <c r="AK69" i="1"/>
  <c r="AL69" i="1"/>
  <c r="AI37" i="1"/>
  <c r="AJ105" i="1"/>
  <c r="AI105" i="1"/>
  <c r="AA105" i="1"/>
  <c r="AK101" i="1"/>
  <c r="AL101" i="1"/>
  <c r="AI87" i="1"/>
  <c r="AJ87" i="1"/>
  <c r="AA77" i="1"/>
  <c r="AJ150" i="1"/>
  <c r="AI150" i="1"/>
  <c r="AA150" i="1"/>
  <c r="AL140" i="1"/>
  <c r="AK140" i="1"/>
  <c r="AJ91" i="1"/>
  <c r="AI91" i="1"/>
  <c r="AA91" i="1"/>
  <c r="AJ41" i="1"/>
  <c r="AI41" i="1"/>
  <c r="AB46" i="1"/>
  <c r="AJ154" i="1"/>
  <c r="AI154" i="1"/>
  <c r="AL142" i="1"/>
  <c r="AK142" i="1"/>
  <c r="AB142" i="1"/>
  <c r="AJ113" i="1"/>
  <c r="AI113" i="1"/>
  <c r="AI65" i="1"/>
  <c r="AJ65" i="1"/>
  <c r="AJ95" i="1"/>
  <c r="AI95" i="1"/>
  <c r="AA95" i="1"/>
  <c r="AI97" i="1"/>
  <c r="AJ97" i="1"/>
  <c r="AJ57" i="1"/>
  <c r="AI57" i="1"/>
  <c r="AK87" i="1"/>
  <c r="AL87" i="1"/>
  <c r="AL177" i="1"/>
  <c r="AK177" i="1"/>
  <c r="AB177" i="1"/>
  <c r="AJ183" i="1"/>
  <c r="AI183" i="1"/>
  <c r="AL157" i="1"/>
  <c r="AK157" i="1"/>
  <c r="AB157" i="1"/>
  <c r="AI170" i="1"/>
  <c r="AJ170" i="1"/>
  <c r="AJ138" i="1"/>
  <c r="AI138" i="1"/>
  <c r="AA138" i="1"/>
  <c r="AL102" i="1"/>
  <c r="AK102" i="1"/>
  <c r="AL78" i="1"/>
  <c r="AK78" i="1"/>
  <c r="AB78" i="1"/>
  <c r="AL135" i="1"/>
  <c r="AK135" i="1"/>
  <c r="AL123" i="1"/>
  <c r="AK123" i="1"/>
  <c r="AB123" i="1"/>
  <c r="AJ188" i="1"/>
  <c r="AI188" i="1"/>
  <c r="AA184" i="1"/>
  <c r="AJ177" i="1"/>
  <c r="AI177" i="1"/>
  <c r="AJ169" i="1"/>
  <c r="AI169" i="1"/>
  <c r="AL179" i="1"/>
  <c r="AK179" i="1"/>
  <c r="AL171" i="1"/>
  <c r="AK171" i="1"/>
  <c r="AK163" i="1"/>
  <c r="AL163" i="1"/>
  <c r="AK155" i="1"/>
  <c r="AL155" i="1"/>
  <c r="AL176" i="1"/>
  <c r="AK176" i="1"/>
  <c r="AL170" i="1"/>
  <c r="AK170" i="1"/>
  <c r="AI180" i="1"/>
  <c r="AJ180" i="1"/>
  <c r="AJ142" i="1"/>
  <c r="AI142" i="1"/>
  <c r="AI174" i="1"/>
  <c r="AJ174" i="1"/>
  <c r="AJ156" i="1"/>
  <c r="AI156" i="1"/>
  <c r="AJ136" i="1"/>
  <c r="AI136" i="1"/>
  <c r="AK160" i="1"/>
  <c r="AL160" i="1"/>
  <c r="AL138" i="1"/>
  <c r="AK138" i="1"/>
  <c r="AA132" i="1"/>
  <c r="AA128" i="1"/>
  <c r="AA124" i="1"/>
  <c r="AA120" i="1"/>
  <c r="AA116" i="1"/>
  <c r="AL108" i="1"/>
  <c r="AK108" i="1"/>
  <c r="AB108" i="1"/>
  <c r="AL92" i="1"/>
  <c r="AK92" i="1"/>
  <c r="AL76" i="1"/>
  <c r="AK76" i="1"/>
  <c r="AB76" i="1"/>
  <c r="AB122" i="1"/>
  <c r="AA78" i="1"/>
  <c r="AA70" i="1"/>
  <c r="AA56" i="1"/>
  <c r="AA163" i="1"/>
  <c r="AA143" i="1"/>
  <c r="AB128" i="1"/>
  <c r="AB120" i="1"/>
  <c r="AA106" i="1"/>
  <c r="AA98" i="1"/>
  <c r="AA90" i="1"/>
  <c r="AA82" i="1"/>
  <c r="AA74" i="1"/>
  <c r="AA66" i="1"/>
  <c r="AL3" i="1"/>
  <c r="AK3" i="1"/>
  <c r="AL146" i="1"/>
  <c r="AK146" i="1"/>
  <c r="AJ135" i="1"/>
  <c r="AI135" i="1"/>
  <c r="AA135" i="1"/>
  <c r="AJ131" i="1"/>
  <c r="AI131" i="1"/>
  <c r="AJ127" i="1"/>
  <c r="AI127" i="1"/>
  <c r="AA127" i="1"/>
  <c r="AJ123" i="1"/>
  <c r="AI123" i="1"/>
  <c r="AJ119" i="1"/>
  <c r="AI119" i="1"/>
  <c r="AA119" i="1"/>
  <c r="AJ115" i="1"/>
  <c r="AI115" i="1"/>
  <c r="AL104" i="1"/>
  <c r="AK104" i="1"/>
  <c r="AB104" i="1"/>
  <c r="AL96" i="1"/>
  <c r="AK96" i="1"/>
  <c r="AL88" i="1"/>
  <c r="AK88" i="1"/>
  <c r="AB88" i="1"/>
  <c r="AL80" i="1"/>
  <c r="AK80" i="1"/>
  <c r="AL72" i="1"/>
  <c r="AK72" i="1"/>
  <c r="AB72" i="1"/>
  <c r="AL64" i="1"/>
  <c r="AK64" i="1"/>
  <c r="AL52" i="1"/>
  <c r="AK52" i="1"/>
  <c r="AB52" i="1"/>
  <c r="AL188" i="1"/>
  <c r="AK188" i="1"/>
  <c r="AL169" i="1"/>
  <c r="AK169" i="1"/>
  <c r="AJ175" i="1"/>
  <c r="AI175" i="1"/>
  <c r="AI176" i="1"/>
  <c r="AJ176" i="1"/>
  <c r="AK50" i="1"/>
  <c r="AL50" i="1"/>
  <c r="AL94" i="1"/>
  <c r="AK94" i="1"/>
  <c r="AL62" i="1"/>
  <c r="AK62" i="1"/>
  <c r="AJ146" i="1"/>
  <c r="AI146" i="1"/>
  <c r="AL127" i="1"/>
  <c r="AK127" i="1"/>
  <c r="AL115" i="1"/>
  <c r="AK115" i="1"/>
  <c r="AL185" i="1"/>
  <c r="AK185" i="1"/>
  <c r="AL173" i="1"/>
  <c r="AK173" i="1"/>
  <c r="AJ179" i="1"/>
  <c r="AI179" i="1"/>
  <c r="AJ171" i="1"/>
  <c r="AI171" i="1"/>
  <c r="AL161" i="1"/>
  <c r="AK161" i="1"/>
  <c r="AL153" i="1"/>
  <c r="AK153" i="1"/>
  <c r="AI178" i="1"/>
  <c r="AJ178" i="1"/>
  <c r="AL180" i="1"/>
  <c r="AK180" i="1"/>
  <c r="AK152" i="1"/>
  <c r="AL152" i="1"/>
  <c r="AL174" i="1"/>
  <c r="AK174" i="1"/>
  <c r="AJ144" i="1"/>
  <c r="AI144" i="1"/>
  <c r="AI172" i="1"/>
  <c r="AJ172" i="1"/>
  <c r="AI160" i="1"/>
  <c r="AJ160" i="1"/>
  <c r="AL113" i="1"/>
  <c r="AK113" i="1"/>
  <c r="AL133" i="1"/>
  <c r="AK133" i="1"/>
  <c r="AL129" i="1"/>
  <c r="AK129" i="1"/>
  <c r="AL125" i="1"/>
  <c r="AK125" i="1"/>
  <c r="AL121" i="1"/>
  <c r="AK121" i="1"/>
  <c r="AL117" i="1"/>
  <c r="AK117" i="1"/>
  <c r="AI112" i="1"/>
  <c r="AJ112" i="1"/>
  <c r="AJ62" i="1"/>
  <c r="AI62" i="1"/>
  <c r="AJ60" i="1"/>
  <c r="AI60" i="1"/>
  <c r="AJ52" i="1"/>
  <c r="AI52" i="1"/>
  <c r="AK164" i="1"/>
  <c r="AL164" i="1"/>
  <c r="AI114" i="1"/>
  <c r="AJ114" i="1"/>
  <c r="AL60" i="1"/>
  <c r="AK60" i="1"/>
  <c r="AB5" i="1"/>
  <c r="AA64" i="1"/>
  <c r="AA88" i="1"/>
  <c r="AJ187" i="1"/>
  <c r="AI187" i="1"/>
  <c r="AL165" i="1"/>
  <c r="AK165" i="1"/>
  <c r="AK156" i="1"/>
  <c r="AL156" i="1"/>
  <c r="AL56" i="1"/>
  <c r="AK56" i="1"/>
  <c r="AL182" i="1"/>
  <c r="AK182" i="1"/>
  <c r="AL86" i="1"/>
  <c r="AK86" i="1"/>
  <c r="AL70" i="1"/>
  <c r="AK70" i="1"/>
  <c r="AL54" i="1"/>
  <c r="AK54" i="1"/>
  <c r="AL131" i="1"/>
  <c r="AK131" i="1"/>
  <c r="AL119" i="1"/>
  <c r="AK119" i="1"/>
  <c r="AJ58" i="1"/>
  <c r="AI58" i="1"/>
  <c r="AL181" i="1"/>
  <c r="AK181" i="1"/>
  <c r="AJ185" i="1"/>
  <c r="AI185" i="1"/>
  <c r="AJ181" i="1"/>
  <c r="AI181" i="1"/>
  <c r="AJ173" i="1"/>
  <c r="AI173" i="1"/>
  <c r="AL187" i="1"/>
  <c r="AK187" i="1"/>
  <c r="AL183" i="1"/>
  <c r="AK183" i="1"/>
  <c r="AL175" i="1"/>
  <c r="AK175" i="1"/>
  <c r="AK167" i="1"/>
  <c r="AL167" i="1"/>
  <c r="AK159" i="1"/>
  <c r="AL159" i="1"/>
  <c r="AK151" i="1"/>
  <c r="AL151" i="1"/>
  <c r="AL178" i="1"/>
  <c r="AK178" i="1"/>
  <c r="AA167" i="1"/>
  <c r="AJ152" i="1"/>
  <c r="AI152" i="1"/>
  <c r="AA139" i="1"/>
  <c r="AL172" i="1"/>
  <c r="AK172" i="1"/>
  <c r="AA159" i="1"/>
  <c r="AL111" i="1"/>
  <c r="AK111" i="1"/>
  <c r="AB111" i="1"/>
  <c r="AJ133" i="1"/>
  <c r="AI133" i="1"/>
  <c r="AJ129" i="1"/>
  <c r="AI129" i="1"/>
  <c r="AA129" i="1"/>
  <c r="AJ125" i="1"/>
  <c r="AI125" i="1"/>
  <c r="AJ121" i="1"/>
  <c r="AI121" i="1"/>
  <c r="AA121" i="1"/>
  <c r="AJ117" i="1"/>
  <c r="AI117" i="1"/>
  <c r="AK112" i="1"/>
  <c r="AL112" i="1"/>
  <c r="AL100" i="1"/>
  <c r="AK100" i="1"/>
  <c r="AL84" i="1"/>
  <c r="AK84" i="1"/>
  <c r="AB84" i="1"/>
  <c r="AL68" i="1"/>
  <c r="AK68" i="1"/>
  <c r="AJ54" i="1"/>
  <c r="AI54" i="1"/>
  <c r="AA54" i="1"/>
  <c r="AB130" i="1"/>
  <c r="AB106" i="1"/>
  <c r="AB74" i="1"/>
  <c r="AB66" i="1"/>
  <c r="AI182" i="1"/>
  <c r="AJ182" i="1"/>
  <c r="AA182" i="1"/>
  <c r="AA148" i="1"/>
  <c r="AB132" i="1"/>
  <c r="AB124" i="1"/>
  <c r="AB116" i="1"/>
  <c r="AJ164" i="1"/>
  <c r="AI164" i="1"/>
  <c r="AA164" i="1"/>
  <c r="AA134" i="1"/>
  <c r="AA130" i="1"/>
  <c r="AA126" i="1"/>
  <c r="AA122" i="1"/>
  <c r="AA118" i="1"/>
  <c r="AK114" i="1"/>
  <c r="AL114" i="1"/>
  <c r="AA57" i="1"/>
  <c r="AB3" i="1"/>
  <c r="AB178" i="1"/>
  <c r="AB175" i="1"/>
  <c r="AB187" i="1"/>
  <c r="AA181" i="1"/>
  <c r="AB181" i="1"/>
  <c r="AB119" i="1"/>
  <c r="AB54" i="1"/>
  <c r="AB86" i="1"/>
  <c r="AB56" i="1"/>
  <c r="AB165" i="1"/>
  <c r="AA97" i="1"/>
  <c r="AA101" i="1"/>
  <c r="AB61" i="1"/>
  <c r="AB99" i="1"/>
  <c r="AB101" i="1"/>
  <c r="AB147" i="1"/>
  <c r="AA69" i="1"/>
  <c r="AB160" i="1"/>
  <c r="AB155" i="1"/>
  <c r="AA83" i="1"/>
  <c r="AB60" i="1"/>
  <c r="AA60" i="1"/>
  <c r="AB121" i="1"/>
  <c r="AB129" i="1"/>
  <c r="AB113" i="1"/>
  <c r="AB174" i="1"/>
  <c r="AB180" i="1"/>
  <c r="AB153" i="1"/>
  <c r="AA171" i="1"/>
  <c r="AB173" i="1"/>
  <c r="AB115" i="1"/>
  <c r="AA146" i="1"/>
  <c r="AB94" i="1"/>
  <c r="AB169" i="1"/>
  <c r="AB138" i="1"/>
  <c r="AA136" i="1"/>
  <c r="AB176" i="1"/>
  <c r="AB179" i="1"/>
  <c r="AA177" i="1"/>
  <c r="AB148" i="1"/>
  <c r="AA55" i="1"/>
  <c r="AA157" i="1"/>
  <c r="AB71" i="1"/>
  <c r="AB87" i="1"/>
  <c r="AB65" i="1"/>
  <c r="AB83" i="1"/>
  <c r="AB158" i="1"/>
  <c r="AA65" i="1"/>
  <c r="AA87" i="1"/>
  <c r="AB69" i="1"/>
  <c r="AB184" i="1"/>
  <c r="AB172" i="1"/>
  <c r="AB183" i="1"/>
  <c r="AA173" i="1"/>
  <c r="AA185" i="1"/>
  <c r="AA58" i="1"/>
  <c r="AB131" i="1"/>
  <c r="AB70" i="1"/>
  <c r="AB182" i="1"/>
  <c r="AA187" i="1"/>
  <c r="AA114" i="1"/>
  <c r="AA160" i="1"/>
  <c r="AB152" i="1"/>
  <c r="AA178" i="1"/>
  <c r="AB50" i="1"/>
  <c r="AB64" i="1"/>
  <c r="AB80" i="1"/>
  <c r="AB96" i="1"/>
  <c r="AA115" i="1"/>
  <c r="AA123" i="1"/>
  <c r="AA131" i="1"/>
  <c r="AB146" i="1"/>
  <c r="AB92" i="1"/>
  <c r="AA188" i="1"/>
  <c r="AB135" i="1"/>
  <c r="AB102" i="1"/>
  <c r="AA183" i="1"/>
  <c r="AA113" i="1"/>
  <c r="AA154" i="1"/>
  <c r="AA41" i="1"/>
  <c r="AB140" i="1"/>
  <c r="AA153" i="1"/>
  <c r="AB97" i="1"/>
  <c r="AB151" i="1"/>
  <c r="AB156" i="1"/>
  <c r="AA170" i="1"/>
  <c r="AB112" i="1"/>
  <c r="AB164" i="1"/>
  <c r="AA112" i="1"/>
  <c r="AA172" i="1"/>
  <c r="AA176" i="1"/>
  <c r="AA174" i="1"/>
  <c r="AA180" i="1"/>
  <c r="AB163" i="1"/>
  <c r="AB167" i="1"/>
  <c r="AB114" i="1"/>
  <c r="AB68" i="1"/>
  <c r="AB100" i="1"/>
  <c r="AA117" i="1"/>
  <c r="AA125" i="1"/>
  <c r="AA133" i="1"/>
  <c r="AA152" i="1"/>
  <c r="AB159" i="1"/>
  <c r="AA52" i="1"/>
  <c r="AA62" i="1"/>
  <c r="AB117" i="1"/>
  <c r="AB125" i="1"/>
  <c r="AB133" i="1"/>
  <c r="AA144" i="1"/>
  <c r="AB161" i="1"/>
  <c r="AA179" i="1"/>
  <c r="AB185" i="1"/>
  <c r="AB127" i="1"/>
  <c r="AB62" i="1"/>
  <c r="AA175" i="1"/>
  <c r="AB188" i="1"/>
  <c r="AA156" i="1"/>
  <c r="AA142" i="1"/>
  <c r="AB170" i="1"/>
  <c r="AB171" i="1"/>
  <c r="AA169" i="1"/>
  <c r="AB37" i="1" l="1"/>
  <c r="AL32" i="1"/>
  <c r="AK32" i="1"/>
  <c r="AK34" i="1"/>
  <c r="AL34" i="1"/>
  <c r="AI35" i="1"/>
  <c r="AJ35" i="1"/>
  <c r="AE34" i="1"/>
  <c r="AL36" i="1"/>
  <c r="AB36" i="1" s="1"/>
  <c r="AK33" i="1"/>
  <c r="AB33" i="1" s="1"/>
  <c r="AK13" i="1"/>
  <c r="AL13" i="1"/>
  <c r="AK31" i="1"/>
  <c r="AL31" i="1"/>
  <c r="AI25" i="1"/>
  <c r="AJ25" i="1"/>
  <c r="AL16" i="1"/>
  <c r="AK16" i="1"/>
  <c r="AB16" i="1" s="1"/>
  <c r="AL26" i="1"/>
  <c r="AK26" i="1"/>
  <c r="AB26" i="1" s="1"/>
  <c r="AI16" i="1"/>
  <c r="AJ16" i="1"/>
  <c r="AI8" i="1"/>
  <c r="AJ8" i="1"/>
  <c r="AK23" i="1"/>
  <c r="AL23" i="1"/>
  <c r="AI26" i="1"/>
  <c r="AJ26" i="1"/>
  <c r="AA30" i="1"/>
  <c r="AI18" i="1"/>
  <c r="AA18" i="1" s="1"/>
  <c r="AJ18" i="1"/>
  <c r="AK14" i="1"/>
  <c r="AL14" i="1"/>
  <c r="AI28" i="1"/>
  <c r="AJ28" i="1"/>
  <c r="AI7" i="1"/>
  <c r="AJ7" i="1"/>
  <c r="AK24" i="1"/>
  <c r="AB24" i="1" s="1"/>
  <c r="AL24" i="1"/>
  <c r="AI17" i="1"/>
  <c r="AJ17" i="1"/>
  <c r="AL30" i="1"/>
  <c r="AK30" i="1"/>
  <c r="AB30" i="1" s="1"/>
  <c r="AB25" i="1"/>
  <c r="AI27" i="1"/>
  <c r="AJ27" i="1"/>
  <c r="AI15" i="1"/>
  <c r="AA15" i="1" s="1"/>
  <c r="AJ15" i="1"/>
  <c r="AJ30" i="1"/>
  <c r="AE13" i="1"/>
  <c r="AE23" i="1"/>
  <c r="AE14" i="1"/>
  <c r="AE24" i="1"/>
  <c r="AI31" i="1"/>
  <c r="AA31" i="1" s="1"/>
  <c r="AJ9" i="1"/>
  <c r="AA9" i="1" s="1"/>
  <c r="AL15" i="1"/>
  <c r="AB15" i="1" s="1"/>
  <c r="AJ19" i="1"/>
  <c r="AA19" i="1" s="1"/>
  <c r="AL25" i="1"/>
  <c r="AJ34" i="1" l="1"/>
  <c r="AI34" i="1"/>
  <c r="AA34" i="1" s="1"/>
  <c r="AA35" i="1"/>
  <c r="AB34" i="1"/>
  <c r="AB32" i="1"/>
  <c r="AB23" i="1"/>
  <c r="AI23" i="1"/>
  <c r="AJ23" i="1"/>
  <c r="AI13" i="1"/>
  <c r="AJ13" i="1"/>
  <c r="AB14" i="1"/>
  <c r="AB31" i="1"/>
  <c r="AA27" i="1"/>
  <c r="AA7" i="1"/>
  <c r="AA26" i="1"/>
  <c r="AI24" i="1"/>
  <c r="AJ24" i="1"/>
  <c r="AI14" i="1"/>
  <c r="AJ14" i="1"/>
  <c r="AA28" i="1"/>
  <c r="AA25" i="1"/>
  <c r="AA17" i="1"/>
  <c r="AA8" i="1"/>
  <c r="AA16" i="1"/>
  <c r="AB13" i="1"/>
  <c r="AA13" i="1" l="1"/>
  <c r="AA14" i="1"/>
  <c r="AA23" i="1"/>
  <c r="AA24" i="1"/>
</calcChain>
</file>

<file path=xl/sharedStrings.xml><?xml version="1.0" encoding="utf-8"?>
<sst xmlns="http://schemas.openxmlformats.org/spreadsheetml/2006/main" count="545" uniqueCount="106">
  <si>
    <t>Sample</t>
  </si>
  <si>
    <t>L1</t>
  </si>
  <si>
    <t>W1</t>
  </si>
  <si>
    <t>L2</t>
  </si>
  <si>
    <t>W2</t>
  </si>
  <si>
    <t>Apatite Ft</t>
  </si>
  <si>
    <t>Zircon Ft</t>
  </si>
  <si>
    <t>Bap</t>
  </si>
  <si>
    <t>Bz</t>
  </si>
  <si>
    <t>Lavg</t>
  </si>
  <si>
    <t>R</t>
  </si>
  <si>
    <t>Ap Uft</t>
  </si>
  <si>
    <t>Ap ThFt</t>
  </si>
  <si>
    <t>Z Uft</t>
  </si>
  <si>
    <t>Z ThFt</t>
  </si>
  <si>
    <t>Np (0,1, or 2)</t>
  </si>
  <si>
    <t>Surface Roughness: See GEM grid, describe how planar and smooth the crystal faces are</t>
  </si>
  <si>
    <t xml:space="preserve">Idealness of xtal form: See GEM grid, how close to the ideal geometry is this crystal? </t>
  </si>
  <si>
    <t>Definitions</t>
  </si>
  <si>
    <t>Sample: A unique name for your sample. Please, if your sample names are long, shorten them to make it easier for lab staff.</t>
  </si>
  <si>
    <t>W2: The c-axis perpendicular width of the grain measured in the first view.</t>
  </si>
  <si>
    <t>L1: The c-axis parallel length of the grain measured in the first view.</t>
  </si>
  <si>
    <t>L1: The c-axis parallel length of the grain measured in the second view.</t>
  </si>
  <si>
    <t>W2: The c-axis perpendicular width of the grain measured in the second view.</t>
  </si>
  <si>
    <t>Priority?</t>
  </si>
  <si>
    <t>Priority?: List if this packet is high, medium, or low priority, or if it shouldn't be analyzed until lab staff receive further instructions.</t>
  </si>
  <si>
    <t>Np = the number of pyramidal terminations. This number can only be a 0, 1, or 2. If you put 1.5 I'll have to guess if you mean 1 or 2.</t>
  </si>
  <si>
    <t>Geometries: 1 = elliptical, 2 = cylindrical, 3 = orthorhombic, 4 = hexagonal. If you put more than one value, I'll use whichever is first.</t>
  </si>
  <si>
    <t>Date Packed</t>
  </si>
  <si>
    <t>Date Packed: List the date that this particular sample was packed.</t>
  </si>
  <si>
    <t>Additional descriptive notes</t>
  </si>
  <si>
    <t>Sample Name and Aliquot</t>
  </si>
  <si>
    <t>Dimensions and Terminations</t>
  </si>
  <si>
    <t>Crystal Notes and Description (see details to right)</t>
  </si>
  <si>
    <r>
      <t xml:space="preserve">Aliquot             </t>
    </r>
    <r>
      <rPr>
        <b/>
        <sz val="11"/>
        <color theme="1"/>
        <rFont val="Calibri (Body)"/>
      </rPr>
      <t>(label a01, a02, z01, z02, etc.)</t>
    </r>
  </si>
  <si>
    <t>Color (apatite) or Clarity (zircon)</t>
  </si>
  <si>
    <t>Surface Color or Staining</t>
  </si>
  <si>
    <t>Mineral Inclusions? (should be avoided for apatite, see notes for zircons)</t>
  </si>
  <si>
    <t>Fluid Inclusions? (should be avoided for all grains)</t>
  </si>
  <si>
    <t xml:space="preserve">Aliquot: A modifier to the sample name, such as a01, a02, z01, t01, or gt01, that indicates the mineral that was packed and the packet number. </t>
  </si>
  <si>
    <t>Surface Color or Staining: Describe any stains or coatings that appear on the grain.</t>
  </si>
  <si>
    <t>Mineral Inclusions: List certainty of no inclusions, or describe inclusion types. Small dots, visible crystals, planes or fields of small inclusions, mineralized cracks, etc. Are they near the edges? Center? Well distributed?</t>
  </si>
  <si>
    <t>Fluid Inclusions: List if you can see spherical fluid inclusions in the grain. Note their size and distribution.</t>
  </si>
  <si>
    <t>Packet Identifier</t>
  </si>
  <si>
    <t>JMDV07</t>
  </si>
  <si>
    <t>a01</t>
  </si>
  <si>
    <t>EXAMPLE</t>
  </si>
  <si>
    <t>bright pink at maximum birefringence</t>
  </si>
  <si>
    <t>JMDV05</t>
  </si>
  <si>
    <t>z01</t>
  </si>
  <si>
    <t>Packet Identifier: This will autopopulate a combined sample and aliquot name that will be used to track the sample during analysis.</t>
  </si>
  <si>
    <t>Analyst</t>
  </si>
  <si>
    <t>Metcalf</t>
  </si>
  <si>
    <t>Analyst: This is the person who should receive the data. Normally this will be the same as the person packing the sample, unless you are preparing samples for another person</t>
  </si>
  <si>
    <t>No staining at all</t>
  </si>
  <si>
    <t>B</t>
  </si>
  <si>
    <t>Surface Roughness (GEM chart)</t>
  </si>
  <si>
    <t>Idealness of xtal form (GEM chart)</t>
  </si>
  <si>
    <t>No visible mineral inclusions</t>
  </si>
  <si>
    <t>No visible fluid inclusions</t>
  </si>
  <si>
    <t>Surface roughness makes it a bit difficult to be 100% sure of inclusions</t>
  </si>
  <si>
    <t>HIGH</t>
  </si>
  <si>
    <t>Some rust colored staining on one termination</t>
  </si>
  <si>
    <t>about 5 mineral inclusions dispersed evenly through grain</t>
  </si>
  <si>
    <t>It has two terminations, but one of them is slightly chipped</t>
  </si>
  <si>
    <t>LOW</t>
  </si>
  <si>
    <t>JMDV03</t>
  </si>
  <si>
    <t>t01</t>
  </si>
  <si>
    <t>moderately opaque, still transparent but cloudy</t>
  </si>
  <si>
    <t>a few small spherical inclusions near the center of the grain</t>
  </si>
  <si>
    <t>Very good wedge shaped grain</t>
  </si>
  <si>
    <t>MEDIUM</t>
  </si>
  <si>
    <t>grey green titanite, no birefringence</t>
  </si>
  <si>
    <t>Geometry (1,2,3, or 4, see chart)</t>
  </si>
  <si>
    <t>Apatite Ft and Zircon Ft: These are estimates of the alpha-ejection correction this grain will have based on an ideal geometry and a Th/U of 1. The final Ft will vary, this is only a guide. These will turn RED if they are near the cut off for being too small.</t>
  </si>
  <si>
    <t>Shard (Y or N)?</t>
  </si>
  <si>
    <t>N</t>
  </si>
  <si>
    <t>Special Analytical Instructions</t>
  </si>
  <si>
    <t>dissolve as apatite</t>
  </si>
  <si>
    <t>dissolve as zircon</t>
  </si>
  <si>
    <t>Special Analytical Instructions: comment on any special handling the sample may need, special dissolution, low expected He values, etc.</t>
  </si>
  <si>
    <t>Mineral (a, z, t, or m)</t>
  </si>
  <si>
    <t>a</t>
  </si>
  <si>
    <t>z</t>
  </si>
  <si>
    <t>t</t>
  </si>
  <si>
    <t>A</t>
  </si>
  <si>
    <t>Lab/Owner</t>
  </si>
  <si>
    <t>Funding</t>
  </si>
  <si>
    <t>TRaIL</t>
  </si>
  <si>
    <t>Firmino</t>
  </si>
  <si>
    <t>LFC</t>
  </si>
  <si>
    <t>Flowers NASA</t>
  </si>
  <si>
    <t>Metcalf Nevada</t>
  </si>
  <si>
    <t>Metcalf Anfield</t>
  </si>
  <si>
    <t>Lab/Owner: This is the group that owns the data, the lab or advisor</t>
  </si>
  <si>
    <t>Funding: This is really just "who to bill," but can include more information if you want to split bills</t>
  </si>
  <si>
    <t>Color (apatite) or Clarity (zircon): For zircons, describe the opacity or clarity of the grain. For apatites, describe the brightest birefringence color you can obtain from the grain.</t>
  </si>
  <si>
    <t>Shard: This is a Y or N telling us if the grain is an internal shard of a larger grain. Shards will not have alpha ejection corrections applied to them.</t>
  </si>
  <si>
    <t>Additional descriptive Notes: This should contain an exhaustive description of the specific grain in this packet. You cannot write too much in this space.</t>
  </si>
  <si>
    <t>TestAp</t>
  </si>
  <si>
    <t>Test</t>
  </si>
  <si>
    <t>TestData</t>
  </si>
  <si>
    <t>Magic</t>
  </si>
  <si>
    <t>none visible</t>
  </si>
  <si>
    <t>blah blah</t>
  </si>
  <si>
    <t>TestZir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</si>
</sst>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i/>
      <sz val="12"/>
      <color theme="9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 (Body)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0" xfId="0" applyFont="1"/>
    <xf numFmtId="2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 applyAlignment="1">
      <alignment vertical="center" wrapText="1"/>
    </xf>
    <xf numFmtId="0" fontId="0" fillId="0" borderId="3" xfId="0" applyBorder="1"/>
    <xf numFmtId="0" fontId="4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/>
    </xf>
    <xf numFmtId="0" fontId="0" fillId="0" borderId="4" xfId="0" applyBorder="1"/>
    <xf numFmtId="164" fontId="1" fillId="0" borderId="2" xfId="0" applyNumberFormat="1" applyFont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9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1">
    <dxf>
      <font>
        <b/>
        <i/>
        <strike val="0"/>
        <u val="none"/>
        <color rgb="FFFF0000"/>
      </font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188"/>
  <sheetViews>
    <sheetView tabSelected="1" topLeftCell="A2" zoomScale="109" zoomScaleNormal="109" workbookViewId="0">
      <selection activeCell="V32" sqref="V32:V37"/>
    </sheetView>
  </sheetViews>
  <sheetFormatPr baseColWidth="10" defaultColWidth="11" defaultRowHeight="16" x14ac:dyDescent="0.2"/>
  <cols>
    <col min="1" max="3" width="12" customWidth="1"/>
    <col min="4" max="4" width="16.6640625" customWidth="1"/>
    <col min="5" max="8" width="15.5" style="2" customWidth="1"/>
    <col min="9" max="10" width="27.83203125" customWidth="1"/>
    <col min="11" max="13" width="15.83203125" style="2" customWidth="1"/>
    <col min="14" max="14" width="12.6640625" style="2" customWidth="1"/>
    <col min="15" max="17" width="27.83203125" customWidth="1"/>
    <col min="18" max="21" width="7.5" style="1" customWidth="1"/>
    <col min="22" max="22" width="9" style="2" customWidth="1"/>
    <col min="23" max="23" width="18.1640625" style="2" customWidth="1"/>
    <col min="24" max="24" width="11" style="2"/>
    <col min="26" max="26" width="4.1640625" customWidth="1"/>
    <col min="27" max="28" width="11" style="8"/>
    <col min="29" max="29" width="4.1640625" customWidth="1"/>
    <col min="31" max="38" width="0" hidden="1" customWidth="1"/>
  </cols>
  <sheetData>
    <row r="1" spans="1:38" ht="19" x14ac:dyDescent="0.25">
      <c r="A1" s="17"/>
      <c r="E1" s="18" t="s">
        <v>31</v>
      </c>
      <c r="F1" s="20"/>
      <c r="K1" s="29"/>
      <c r="L1" s="22" t="s">
        <v>33</v>
      </c>
      <c r="M1" s="29"/>
      <c r="N1" s="29"/>
      <c r="O1" s="16"/>
      <c r="P1" s="16"/>
      <c r="Q1" s="23"/>
      <c r="R1" s="25"/>
      <c r="S1" s="28"/>
      <c r="T1" s="28" t="s">
        <v>32</v>
      </c>
      <c r="V1" s="20"/>
      <c r="X1" s="30"/>
      <c r="Y1" s="26"/>
    </row>
    <row r="2" spans="1:38" s="12" customFormat="1" ht="52" customHeight="1" x14ac:dyDescent="0.2">
      <c r="A2" s="19" t="s">
        <v>0</v>
      </c>
      <c r="B2" s="10" t="s">
        <v>86</v>
      </c>
      <c r="C2" s="10" t="s">
        <v>51</v>
      </c>
      <c r="D2" s="10" t="s">
        <v>87</v>
      </c>
      <c r="E2" s="10" t="s">
        <v>0</v>
      </c>
      <c r="F2" s="21" t="s">
        <v>34</v>
      </c>
      <c r="G2" s="10" t="s">
        <v>43</v>
      </c>
      <c r="H2" s="10" t="s">
        <v>81</v>
      </c>
      <c r="I2" s="11" t="s">
        <v>35</v>
      </c>
      <c r="J2" s="11" t="s">
        <v>36</v>
      </c>
      <c r="K2" s="11" t="s">
        <v>56</v>
      </c>
      <c r="L2" s="11" t="s">
        <v>57</v>
      </c>
      <c r="M2" s="11" t="s">
        <v>73</v>
      </c>
      <c r="N2" s="11" t="s">
        <v>75</v>
      </c>
      <c r="O2" s="11" t="s">
        <v>37</v>
      </c>
      <c r="P2" s="11" t="s">
        <v>38</v>
      </c>
      <c r="Q2" s="24" t="s">
        <v>30</v>
      </c>
      <c r="R2" s="27" t="s">
        <v>1</v>
      </c>
      <c r="S2" s="11" t="s">
        <v>2</v>
      </c>
      <c r="T2" s="11" t="s">
        <v>3</v>
      </c>
      <c r="U2" s="11" t="s">
        <v>4</v>
      </c>
      <c r="V2" s="24" t="s">
        <v>15</v>
      </c>
      <c r="W2" s="11" t="s">
        <v>77</v>
      </c>
      <c r="X2" s="27" t="s">
        <v>24</v>
      </c>
      <c r="Y2" s="24" t="s">
        <v>28</v>
      </c>
      <c r="AA2" s="10" t="s">
        <v>5</v>
      </c>
      <c r="AB2" s="10" t="s">
        <v>6</v>
      </c>
      <c r="AD2" s="14" t="s">
        <v>18</v>
      </c>
      <c r="AE2" s="13" t="s">
        <v>7</v>
      </c>
      <c r="AF2" s="13" t="s">
        <v>8</v>
      </c>
      <c r="AG2" s="13" t="s">
        <v>9</v>
      </c>
      <c r="AH2" s="13" t="s">
        <v>10</v>
      </c>
      <c r="AI2" s="13" t="s">
        <v>11</v>
      </c>
      <c r="AJ2" s="13" t="s">
        <v>12</v>
      </c>
      <c r="AK2" s="13" t="s">
        <v>13</v>
      </c>
      <c r="AL2" s="13" t="s">
        <v>14</v>
      </c>
    </row>
    <row r="3" spans="1:38" s="3" customFormat="1" ht="17" customHeight="1" x14ac:dyDescent="0.2">
      <c r="A3" s="5" t="s">
        <v>46</v>
      </c>
      <c r="B3" s="5" t="s">
        <v>88</v>
      </c>
      <c r="C3" s="5" t="s">
        <v>52</v>
      </c>
      <c r="D3" s="35" t="s">
        <v>92</v>
      </c>
      <c r="E3" s="4" t="s">
        <v>44</v>
      </c>
      <c r="F3" s="4" t="s">
        <v>45</v>
      </c>
      <c r="G3" s="4" t="str">
        <f>CONCATENATE(E3,"_",F3)</f>
        <v>JMDV07_a01</v>
      </c>
      <c r="H3" s="4" t="s">
        <v>82</v>
      </c>
      <c r="I3" s="3" t="s">
        <v>47</v>
      </c>
      <c r="J3" s="3" t="s">
        <v>54</v>
      </c>
      <c r="K3" s="4">
        <v>1</v>
      </c>
      <c r="L3" s="4" t="s">
        <v>85</v>
      </c>
      <c r="M3" s="4">
        <v>4</v>
      </c>
      <c r="N3" s="4" t="s">
        <v>76</v>
      </c>
      <c r="O3" s="3" t="s">
        <v>58</v>
      </c>
      <c r="P3" s="3" t="s">
        <v>59</v>
      </c>
      <c r="Q3" s="3" t="s">
        <v>60</v>
      </c>
      <c r="R3" s="6">
        <v>125.1</v>
      </c>
      <c r="S3" s="6">
        <v>84</v>
      </c>
      <c r="T3" s="6">
        <v>124.8</v>
      </c>
      <c r="U3" s="6">
        <v>65</v>
      </c>
      <c r="V3" s="4">
        <v>2</v>
      </c>
      <c r="W3" s="4" t="s">
        <v>78</v>
      </c>
      <c r="X3" s="33" t="s">
        <v>61</v>
      </c>
      <c r="Y3" s="32">
        <v>27931</v>
      </c>
      <c r="AA3" s="9">
        <f t="shared" ref="AA3:AA35" si="0">(1/1.249)*AI3+(1-(1/1.249))*AJ3</f>
        <v>0.63178282764811788</v>
      </c>
      <c r="AB3" s="9">
        <f t="shared" ref="AB3:AB35" si="1">(1/1.249)*AK3+(1-(1/1.249))*AL3</f>
        <v>0.75938352066407977</v>
      </c>
      <c r="AD3" s="15" t="s">
        <v>94</v>
      </c>
      <c r="AE3" s="7">
        <f>(2.31*AG3+2*AH3)/(AH3*AG3)</f>
        <v>7.801982537981636E-2</v>
      </c>
      <c r="AF3" s="7">
        <f>(4*AG3+4+AH3)/(AG3*2*AH3)</f>
        <v>5.8122577890216486E-2</v>
      </c>
      <c r="AG3" s="7">
        <f t="shared" ref="AG3:AG35" si="2">(R3+T3)/2</f>
        <v>124.94999999999999</v>
      </c>
      <c r="AH3" s="7">
        <f t="shared" ref="AH3:AH35" si="3">(S3+U3)/4</f>
        <v>37.25</v>
      </c>
      <c r="AI3" s="7">
        <f>1+(-5.13)*AE3+(6.79)*AE3^2</f>
        <v>0.64108965830563902</v>
      </c>
      <c r="AJ3" s="7">
        <f>1+(-5.9)*AE3+8.99*AE3^2</f>
        <v>0.59440599769823377</v>
      </c>
      <c r="AK3" s="7">
        <f>1+(-4.31)*AF3+4.92*AF3^2</f>
        <v>0.76611260087133992</v>
      </c>
      <c r="AL3" s="7">
        <f>1+(-5)*AF3+6.8*AF3^2</f>
        <v>0.73235910216102673</v>
      </c>
    </row>
    <row r="4" spans="1:38" s="3" customFormat="1" ht="17" customHeight="1" x14ac:dyDescent="0.2">
      <c r="A4" s="5" t="s">
        <v>46</v>
      </c>
      <c r="B4" s="5" t="s">
        <v>88</v>
      </c>
      <c r="C4" s="5" t="s">
        <v>52</v>
      </c>
      <c r="D4" s="35" t="s">
        <v>91</v>
      </c>
      <c r="E4" s="4" t="s">
        <v>48</v>
      </c>
      <c r="F4" s="4" t="s">
        <v>49</v>
      </c>
      <c r="G4" s="4" t="str">
        <f t="shared" ref="G4:G68" si="4">CONCATENATE(E4,"_",F4)</f>
        <v>JMDV05_z01</v>
      </c>
      <c r="H4" s="4" t="s">
        <v>83</v>
      </c>
      <c r="I4" s="3" t="s">
        <v>68</v>
      </c>
      <c r="J4" s="3" t="s">
        <v>62</v>
      </c>
      <c r="K4" s="4">
        <v>2</v>
      </c>
      <c r="L4" s="4" t="s">
        <v>55</v>
      </c>
      <c r="M4" s="4">
        <v>3</v>
      </c>
      <c r="N4" s="4" t="s">
        <v>76</v>
      </c>
      <c r="O4" s="3" t="s">
        <v>63</v>
      </c>
      <c r="P4" s="3" t="s">
        <v>59</v>
      </c>
      <c r="Q4" s="3" t="s">
        <v>64</v>
      </c>
      <c r="R4" s="6">
        <v>230.1</v>
      </c>
      <c r="S4" s="6">
        <v>123.3</v>
      </c>
      <c r="T4" s="6">
        <v>228.7</v>
      </c>
      <c r="U4" s="6">
        <v>110.3</v>
      </c>
      <c r="V4" s="4">
        <v>2</v>
      </c>
      <c r="W4" s="4" t="s">
        <v>79</v>
      </c>
      <c r="X4" s="34" t="s">
        <v>65</v>
      </c>
      <c r="Y4" s="32">
        <v>27931</v>
      </c>
      <c r="AA4" s="9">
        <f t="shared" si="0"/>
        <v>0.76179306219460907</v>
      </c>
      <c r="AB4" s="9">
        <f t="shared" si="1"/>
        <v>0.84441169958686535</v>
      </c>
      <c r="AD4" s="15" t="s">
        <v>53</v>
      </c>
      <c r="AE4" s="7">
        <f>(2.31*AG4+2*AH4)/(AH4*AG4)</f>
        <v>4.8273190335717954E-2</v>
      </c>
      <c r="AF4" s="7">
        <f>(4*AG4+4+AH4)/(AG4*2*AH4)</f>
        <v>3.6575461895833085E-2</v>
      </c>
      <c r="AG4" s="7">
        <f t="shared" si="2"/>
        <v>229.39999999999998</v>
      </c>
      <c r="AH4" s="7">
        <f t="shared" si="3"/>
        <v>58.4</v>
      </c>
      <c r="AI4" s="7">
        <f>1+(-5.13)*AE4+(6.79)*AE4^2</f>
        <v>0.7681812767239965</v>
      </c>
      <c r="AJ4" s="7">
        <f>1+(-5.9)*AE4+8.99*AE4^2</f>
        <v>0.73613758215690828</v>
      </c>
      <c r="AK4" s="7">
        <f>1+(-4.31)*AF4+4.92*AF4^2</f>
        <v>0.84894156014039568</v>
      </c>
      <c r="AL4" s="7">
        <f>1+(-5)*AF4+6.8*AF4^2</f>
        <v>0.82621948852851068</v>
      </c>
    </row>
    <row r="5" spans="1:38" s="3" customFormat="1" ht="17" customHeight="1" x14ac:dyDescent="0.2">
      <c r="A5" s="5" t="s">
        <v>46</v>
      </c>
      <c r="B5" s="5" t="s">
        <v>90</v>
      </c>
      <c r="C5" s="5" t="s">
        <v>89</v>
      </c>
      <c r="D5" s="35" t="s">
        <v>93</v>
      </c>
      <c r="E5" s="4" t="s">
        <v>66</v>
      </c>
      <c r="F5" s="4" t="s">
        <v>67</v>
      </c>
      <c r="G5" s="4" t="str">
        <f t="shared" si="4"/>
        <v>JMDV03_t01</v>
      </c>
      <c r="H5" s="4" t="s">
        <v>84</v>
      </c>
      <c r="I5" s="3" t="s">
        <v>72</v>
      </c>
      <c r="J5" s="3" t="s">
        <v>54</v>
      </c>
      <c r="K5" s="4">
        <v>1</v>
      </c>
      <c r="L5" s="4" t="s">
        <v>85</v>
      </c>
      <c r="M5" s="4">
        <v>3</v>
      </c>
      <c r="N5" s="4" t="s">
        <v>76</v>
      </c>
      <c r="O5" s="3" t="s">
        <v>58</v>
      </c>
      <c r="P5" s="3" t="s">
        <v>69</v>
      </c>
      <c r="Q5" s="3" t="s">
        <v>70</v>
      </c>
      <c r="R5" s="6">
        <v>300.10000000000002</v>
      </c>
      <c r="S5" s="6">
        <v>280.10000000000002</v>
      </c>
      <c r="T5" s="6">
        <v>305.2</v>
      </c>
      <c r="U5" s="6">
        <v>80.599999999999994</v>
      </c>
      <c r="V5" s="4">
        <v>0</v>
      </c>
      <c r="W5" s="4" t="s">
        <v>79</v>
      </c>
      <c r="X5" s="31" t="s">
        <v>71</v>
      </c>
      <c r="Y5" s="32">
        <v>27931</v>
      </c>
      <c r="AA5" s="9">
        <f t="shared" si="0"/>
        <v>0.83724480756672193</v>
      </c>
      <c r="AB5" s="9">
        <f t="shared" si="1"/>
        <v>0.89670912708745565</v>
      </c>
      <c r="AD5" s="15" t="s">
        <v>95</v>
      </c>
      <c r="AE5" s="7">
        <f t="shared" ref="AE5:AE69" si="5">(2.31*AG5+2*AH5)/(AH5*AG5)</f>
        <v>3.2225149521340715E-2</v>
      </c>
      <c r="AF5" s="7">
        <f t="shared" ref="AF5:AF69" si="6">(4*AG5+4+AH5)/(AG5*2*AH5)</f>
        <v>2.3904452541502096E-2</v>
      </c>
      <c r="AG5" s="7">
        <f t="shared" si="2"/>
        <v>302.64999999999998</v>
      </c>
      <c r="AH5" s="7">
        <f t="shared" si="3"/>
        <v>90.175000000000011</v>
      </c>
      <c r="AI5" s="7">
        <f t="shared" ref="AI5:AI69" si="7">1+(-5.13)*AE5+(6.79)*AE5^2</f>
        <v>0.84173612813228016</v>
      </c>
      <c r="AJ5" s="7">
        <f t="shared" ref="AJ5:AJ69" si="8">1+(-5.9)*AE5+8.99*AE5^2</f>
        <v>0.8192073755765279</v>
      </c>
      <c r="AK5" s="7">
        <f t="shared" ref="AK5:AK69" si="9">1+(-4.31)*AF5+4.92*AF5^2</f>
        <v>0.89978320997456596</v>
      </c>
      <c r="AL5" s="7">
        <f t="shared" ref="AL5:AL69" si="10">1+(-5)*AF5+6.8*AF5^2</f>
        <v>0.88436341268139018</v>
      </c>
    </row>
    <row r="6" spans="1:38" s="3" customFormat="1" ht="17" customHeight="1" x14ac:dyDescent="0.2">
      <c r="A6" s="5"/>
      <c r="B6" s="5"/>
      <c r="C6" s="5"/>
      <c r="D6" s="35"/>
      <c r="E6" s="4"/>
      <c r="F6" s="4"/>
      <c r="G6" s="4"/>
      <c r="H6" s="4"/>
      <c r="K6" s="4"/>
      <c r="L6" s="4"/>
      <c r="M6" s="4"/>
      <c r="N6" s="4"/>
      <c r="R6" s="6"/>
      <c r="S6" s="6"/>
      <c r="T6" s="6"/>
      <c r="U6" s="6"/>
      <c r="V6" s="4"/>
      <c r="W6" s="4"/>
      <c r="X6" s="31"/>
      <c r="Y6" s="32"/>
      <c r="AA6" s="9"/>
      <c r="AB6" s="9"/>
      <c r="AD6" s="15" t="s">
        <v>19</v>
      </c>
      <c r="AE6" s="7"/>
      <c r="AF6" s="7"/>
      <c r="AG6" s="7"/>
      <c r="AH6" s="7"/>
      <c r="AI6" s="7"/>
      <c r="AJ6" s="7"/>
      <c r="AK6" s="7"/>
      <c r="AL6" s="7"/>
    </row>
    <row r="7" spans="1:38" s="3" customFormat="1" ht="17" customHeight="1" x14ac:dyDescent="0.2">
      <c r="A7" s="5">
        <f t="shared" ref="A7:A69" si="11">A6+1</f>
        <v>1</v>
      </c>
      <c r="B7" s="5" t="s">
        <v>100</v>
      </c>
      <c r="C7" s="5" t="s">
        <v>101</v>
      </c>
      <c r="D7" s="3" t="s">
        <v>102</v>
      </c>
      <c r="E7" s="4" t="s">
        <v>99</v>
      </c>
      <c r="F7" s="4">
        <v>1</v>
      </c>
      <c r="G7" s="4" t="str">
        <f t="shared" ref="G7:G29" si="12">CONCATENATE(E7,"_",F7)</f>
        <v>TestAp_1</v>
      </c>
      <c r="H7" s="4" t="s">
        <v>82</v>
      </c>
      <c r="I7" s="3" t="s">
        <v>103</v>
      </c>
      <c r="J7" s="3" t="s">
        <v>103</v>
      </c>
      <c r="K7" s="4">
        <v>1</v>
      </c>
      <c r="L7" s="4" t="s">
        <v>85</v>
      </c>
      <c r="M7" s="4">
        <v>4</v>
      </c>
      <c r="N7" s="4" t="s">
        <v>76</v>
      </c>
      <c r="O7" s="3" t="s">
        <v>103</v>
      </c>
      <c r="P7" s="3" t="s">
        <v>103</v>
      </c>
      <c r="Q7" s="3" t="s">
        <v>104</v>
      </c>
      <c r="R7" s="6">
        <v>166.61</v>
      </c>
      <c r="S7" s="6">
        <v>116.32</v>
      </c>
      <c r="T7" s="6">
        <v>168.93</v>
      </c>
      <c r="U7" s="6">
        <v>139.02000000000001</v>
      </c>
      <c r="V7" s="4">
        <v>1</v>
      </c>
      <c r="W7" s="4" t="s">
        <v>78</v>
      </c>
      <c r="X7" s="33" t="s">
        <v>61</v>
      </c>
      <c r="Y7" s="32">
        <v>27931</v>
      </c>
      <c r="AA7" s="9">
        <f t="shared" ref="AA7:AA29" si="13">(1/1.249)*AI7+(1-(1/1.249))*AJ7</f>
        <v>0.7625501749135235</v>
      </c>
      <c r="AB7" s="9">
        <f t="shared" ref="AB7:AB29" si="14">(1/1.249)*AK7+(1-(1/1.249))*AL7</f>
        <v>0.8528703850265964</v>
      </c>
      <c r="AD7" s="15" t="s">
        <v>39</v>
      </c>
      <c r="AE7" s="7">
        <f t="shared" ref="AE7:AE27" si="15">(2.31*AG7+2*AH7)/(AH7*AG7)</f>
        <v>4.8108127158965848E-2</v>
      </c>
      <c r="AF7" s="7">
        <f t="shared" ref="AF7:AF27" si="16">(4*AG7+4+AH7)/(AG7*2*AH7)</f>
        <v>3.4497793635661175E-2</v>
      </c>
      <c r="AG7" s="7">
        <f t="shared" ref="AG7:AG27" si="17">(R7+T7)/2</f>
        <v>167.77</v>
      </c>
      <c r="AH7" s="7">
        <f t="shared" ref="AH7:AH27" si="18">(S7+U7)/4</f>
        <v>63.835000000000001</v>
      </c>
      <c r="AI7" s="7">
        <f t="shared" ref="AI7:AI27" si="19">1+(-5.13)*AE7+(6.79)*AE7^2</f>
        <v>0.76892002866697173</v>
      </c>
      <c r="AJ7" s="7">
        <f t="shared" ref="AJ7:AJ27" si="20">1+(-5.9)*AE7+8.99*AE7^2</f>
        <v>0.73696843293180314</v>
      </c>
      <c r="AK7" s="7">
        <f t="shared" ref="AK7:AK27" si="21">1+(-4.31)*AF7+4.92*AF7^2</f>
        <v>0.85716979043768537</v>
      </c>
      <c r="AL7" s="7">
        <f t="shared" ref="AL7:AL27" si="22">1+(-5)*AF7+6.8*AF7^2</f>
        <v>0.83560369662864897</v>
      </c>
    </row>
    <row r="8" spans="1:38" s="3" customFormat="1" ht="17" customHeight="1" x14ac:dyDescent="0.2">
      <c r="A8" s="5">
        <f t="shared" si="11"/>
        <v>2</v>
      </c>
      <c r="B8" s="5" t="s">
        <v>100</v>
      </c>
      <c r="C8" s="5" t="s">
        <v>101</v>
      </c>
      <c r="D8" s="3" t="s">
        <v>102</v>
      </c>
      <c r="E8" s="4" t="s">
        <v>99</v>
      </c>
      <c r="F8" s="4">
        <v>2</v>
      </c>
      <c r="G8" s="4" t="str">
        <f t="shared" si="12"/>
        <v>TestAp_2</v>
      </c>
      <c r="H8" s="4" t="s">
        <v>82</v>
      </c>
      <c r="I8" s="3" t="s">
        <v>103</v>
      </c>
      <c r="J8" s="3" t="s">
        <v>103</v>
      </c>
      <c r="K8" s="4">
        <v>1</v>
      </c>
      <c r="L8" s="4" t="s">
        <v>85</v>
      </c>
      <c r="M8" s="4">
        <v>4</v>
      </c>
      <c r="N8" s="4" t="s">
        <v>76</v>
      </c>
      <c r="O8" s="3" t="s">
        <v>103</v>
      </c>
      <c r="P8" s="3" t="s">
        <v>103</v>
      </c>
      <c r="Q8" s="3" t="s">
        <v>104</v>
      </c>
      <c r="R8" s="6">
        <v>159.71</v>
      </c>
      <c r="S8" s="6">
        <v>128.54</v>
      </c>
      <c r="T8" s="6">
        <v>169.63</v>
      </c>
      <c r="U8" s="6">
        <v>149.41</v>
      </c>
      <c r="V8" s="4">
        <v>1</v>
      </c>
      <c r="W8" s="4" t="s">
        <v>78</v>
      </c>
      <c r="X8" s="33" t="s">
        <v>61</v>
      </c>
      <c r="Y8" s="32">
        <v>27931</v>
      </c>
      <c r="AA8" s="9">
        <f t="shared" si="13"/>
        <v>0.77507947163167612</v>
      </c>
      <c r="AB8" s="9">
        <f t="shared" si="14"/>
        <v>0.8631274690997276</v>
      </c>
      <c r="AD8" s="15" t="s">
        <v>50</v>
      </c>
      <c r="AE8" s="7">
        <f t="shared" si="15"/>
        <v>4.538889222622583E-2</v>
      </c>
      <c r="AF8" s="7">
        <f t="shared" si="16"/>
        <v>3.1993317722898852E-2</v>
      </c>
      <c r="AG8" s="7">
        <f t="shared" si="17"/>
        <v>164.67000000000002</v>
      </c>
      <c r="AH8" s="7">
        <f t="shared" si="18"/>
        <v>69.487499999999997</v>
      </c>
      <c r="AI8" s="7">
        <f t="shared" si="19"/>
        <v>0.78114341181924907</v>
      </c>
      <c r="AJ8" s="7">
        <f t="shared" si="20"/>
        <v>0.75072629818760783</v>
      </c>
      <c r="AK8" s="7">
        <f t="shared" si="21"/>
        <v>0.86714477671858425</v>
      </c>
      <c r="AL8" s="7">
        <f t="shared" si="22"/>
        <v>0.84699370356215054</v>
      </c>
    </row>
    <row r="9" spans="1:38" s="3" customFormat="1" ht="17" customHeight="1" x14ac:dyDescent="0.2">
      <c r="A9" s="5">
        <f t="shared" si="11"/>
        <v>3</v>
      </c>
      <c r="B9" s="5" t="s">
        <v>100</v>
      </c>
      <c r="C9" s="5" t="s">
        <v>101</v>
      </c>
      <c r="D9" s="3" t="s">
        <v>102</v>
      </c>
      <c r="E9" s="4" t="s">
        <v>99</v>
      </c>
      <c r="F9" s="4">
        <v>3</v>
      </c>
      <c r="G9" s="4" t="str">
        <f t="shared" si="12"/>
        <v>TestAp_3</v>
      </c>
      <c r="H9" s="4" t="s">
        <v>82</v>
      </c>
      <c r="I9" s="3" t="s">
        <v>103</v>
      </c>
      <c r="J9" s="3" t="s">
        <v>103</v>
      </c>
      <c r="K9" s="4">
        <v>1</v>
      </c>
      <c r="L9" s="4" t="s">
        <v>85</v>
      </c>
      <c r="M9" s="4">
        <v>4</v>
      </c>
      <c r="N9" s="4" t="s">
        <v>76</v>
      </c>
      <c r="O9" s="3" t="s">
        <v>103</v>
      </c>
      <c r="P9" s="3" t="s">
        <v>103</v>
      </c>
      <c r="Q9" s="3" t="s">
        <v>104</v>
      </c>
      <c r="R9" s="6">
        <v>200.57</v>
      </c>
      <c r="S9" s="6">
        <v>131.91</v>
      </c>
      <c r="T9" s="6">
        <v>201.91</v>
      </c>
      <c r="U9" s="6">
        <v>143.18</v>
      </c>
      <c r="V9" s="4">
        <v>1</v>
      </c>
      <c r="W9" s="4" t="s">
        <v>78</v>
      </c>
      <c r="X9" s="33" t="s">
        <v>61</v>
      </c>
      <c r="Y9" s="32">
        <v>27931</v>
      </c>
      <c r="AA9" s="9">
        <f t="shared" si="13"/>
        <v>0.78371827385864301</v>
      </c>
      <c r="AB9" s="9">
        <f t="shared" si="14"/>
        <v>0.8642899313368253</v>
      </c>
      <c r="AD9" s="15" t="s">
        <v>96</v>
      </c>
      <c r="AE9" s="7">
        <f t="shared" si="15"/>
        <v>4.3527389265401423E-2</v>
      </c>
      <c r="AF9" s="7">
        <f t="shared" si="16"/>
        <v>3.1710498042024214E-2</v>
      </c>
      <c r="AG9" s="7">
        <f t="shared" si="17"/>
        <v>201.24</v>
      </c>
      <c r="AH9" s="7">
        <f t="shared" si="18"/>
        <v>68.772500000000008</v>
      </c>
      <c r="AI9" s="7">
        <f t="shared" si="19"/>
        <v>0.78956905532290822</v>
      </c>
      <c r="AJ9" s="7">
        <f t="shared" si="20"/>
        <v>0.76022115954432501</v>
      </c>
      <c r="AK9" s="7">
        <f t="shared" si="21"/>
        <v>0.86827508741435588</v>
      </c>
      <c r="AL9" s="7">
        <f t="shared" si="22"/>
        <v>0.84828528845517681</v>
      </c>
    </row>
    <row r="10" spans="1:38" s="3" customFormat="1" ht="17" customHeight="1" x14ac:dyDescent="0.2">
      <c r="A10" s="5">
        <f t="shared" si="11"/>
        <v>4</v>
      </c>
      <c r="B10" s="5" t="s">
        <v>100</v>
      </c>
      <c r="C10" s="5" t="s">
        <v>101</v>
      </c>
      <c r="D10" s="3" t="s">
        <v>102</v>
      </c>
      <c r="E10" s="4" t="s">
        <v>99</v>
      </c>
      <c r="F10" s="4">
        <v>4</v>
      </c>
      <c r="G10" s="4" t="str">
        <f t="shared" si="12"/>
        <v>TestAp_4</v>
      </c>
      <c r="H10" s="4" t="s">
        <v>82</v>
      </c>
      <c r="I10" s="3" t="s">
        <v>103</v>
      </c>
      <c r="J10" s="3" t="s">
        <v>103</v>
      </c>
      <c r="K10" s="4">
        <v>1</v>
      </c>
      <c r="L10" s="4" t="s">
        <v>85</v>
      </c>
      <c r="M10" s="4">
        <v>4</v>
      </c>
      <c r="N10" s="4" t="s">
        <v>76</v>
      </c>
      <c r="O10" s="3" t="s">
        <v>103</v>
      </c>
      <c r="P10" s="3" t="s">
        <v>103</v>
      </c>
      <c r="Q10" s="3" t="s">
        <v>104</v>
      </c>
      <c r="R10" s="6">
        <v>99.99</v>
      </c>
      <c r="S10" s="6">
        <v>101.83</v>
      </c>
      <c r="T10" s="6">
        <v>107.69</v>
      </c>
      <c r="U10" s="6">
        <v>80.510000000000005</v>
      </c>
      <c r="V10" s="4">
        <v>1</v>
      </c>
      <c r="W10" s="4" t="s">
        <v>78</v>
      </c>
      <c r="X10" s="33" t="s">
        <v>61</v>
      </c>
      <c r="Y10" s="32">
        <v>27931</v>
      </c>
      <c r="AA10" s="9">
        <f t="shared" si="13"/>
        <v>0.66585244837043989</v>
      </c>
      <c r="AB10" s="9">
        <f t="shared" si="14"/>
        <v>0.79434370327453729</v>
      </c>
      <c r="AD10" s="15" t="s">
        <v>40</v>
      </c>
      <c r="AE10" s="7">
        <f t="shared" si="15"/>
        <v>6.9934964617649045E-2</v>
      </c>
      <c r="AF10" s="7">
        <f t="shared" si="16"/>
        <v>4.9111697732592205E-2</v>
      </c>
      <c r="AG10" s="7">
        <f t="shared" si="17"/>
        <v>103.84</v>
      </c>
      <c r="AH10" s="7">
        <f t="shared" si="18"/>
        <v>45.585000000000001</v>
      </c>
      <c r="AI10" s="7">
        <f t="shared" si="19"/>
        <v>0.67444283759598811</v>
      </c>
      <c r="AJ10" s="7">
        <f t="shared" si="20"/>
        <v>0.63135289324775634</v>
      </c>
      <c r="AK10" s="7">
        <f t="shared" si="21"/>
        <v>0.80019542033508095</v>
      </c>
      <c r="AL10" s="7">
        <f t="shared" si="22"/>
        <v>0.77084283154544597</v>
      </c>
    </row>
    <row r="11" spans="1:38" s="3" customFormat="1" ht="17" customHeight="1" x14ac:dyDescent="0.2">
      <c r="A11" s="5">
        <f t="shared" si="11"/>
        <v>5</v>
      </c>
      <c r="B11" s="5" t="s">
        <v>100</v>
      </c>
      <c r="C11" s="5" t="s">
        <v>101</v>
      </c>
      <c r="D11" s="3" t="s">
        <v>102</v>
      </c>
      <c r="E11" s="4" t="s">
        <v>99</v>
      </c>
      <c r="F11" s="4">
        <v>5</v>
      </c>
      <c r="G11" s="4" t="str">
        <f t="shared" si="12"/>
        <v>TestAp_5</v>
      </c>
      <c r="H11" s="4" t="s">
        <v>82</v>
      </c>
      <c r="I11" s="3" t="s">
        <v>103</v>
      </c>
      <c r="J11" s="3" t="s">
        <v>103</v>
      </c>
      <c r="K11" s="4">
        <v>1</v>
      </c>
      <c r="L11" s="4" t="s">
        <v>85</v>
      </c>
      <c r="M11" s="4">
        <v>4</v>
      </c>
      <c r="N11" s="4" t="s">
        <v>76</v>
      </c>
      <c r="O11" s="3" t="s">
        <v>103</v>
      </c>
      <c r="P11" s="3" t="s">
        <v>103</v>
      </c>
      <c r="Q11" s="3" t="s">
        <v>104</v>
      </c>
      <c r="R11" s="6">
        <v>107.21</v>
      </c>
      <c r="S11" s="6">
        <v>268.86</v>
      </c>
      <c r="T11" s="6">
        <v>206.71</v>
      </c>
      <c r="U11" s="6">
        <v>276.64999999999998</v>
      </c>
      <c r="V11" s="4">
        <v>1</v>
      </c>
      <c r="W11" s="4" t="s">
        <v>78</v>
      </c>
      <c r="X11" s="33" t="s">
        <v>61</v>
      </c>
      <c r="Y11" s="32">
        <v>27931</v>
      </c>
      <c r="AA11" s="9">
        <f t="shared" si="13"/>
        <v>0.84955136687159882</v>
      </c>
      <c r="AB11" s="9">
        <f t="shared" si="14"/>
        <v>0.9218973072509733</v>
      </c>
      <c r="AD11" s="15" t="s">
        <v>16</v>
      </c>
      <c r="AE11" s="7">
        <f t="shared" si="15"/>
        <v>2.9680377839805785E-2</v>
      </c>
      <c r="AF11" s="7">
        <f t="shared" si="16"/>
        <v>1.794413324859373E-2</v>
      </c>
      <c r="AG11" s="7">
        <f t="shared" si="17"/>
        <v>156.96</v>
      </c>
      <c r="AH11" s="7">
        <f t="shared" si="18"/>
        <v>136.3775</v>
      </c>
      <c r="AI11" s="7">
        <f t="shared" si="19"/>
        <v>0.85372114126876186</v>
      </c>
      <c r="AJ11" s="7">
        <f t="shared" si="20"/>
        <v>0.83280528495528139</v>
      </c>
      <c r="AK11" s="7">
        <f t="shared" si="21"/>
        <v>0.924244985935334</v>
      </c>
      <c r="AL11" s="7">
        <f t="shared" si="22"/>
        <v>0.91246887879972571</v>
      </c>
    </row>
    <row r="12" spans="1:38" s="3" customFormat="1" ht="17" customHeight="1" x14ac:dyDescent="0.2">
      <c r="A12" s="5">
        <f t="shared" si="11"/>
        <v>6</v>
      </c>
      <c r="B12" s="5" t="s">
        <v>100</v>
      </c>
      <c r="C12" s="5" t="s">
        <v>101</v>
      </c>
      <c r="D12" s="3" t="s">
        <v>102</v>
      </c>
      <c r="E12" s="4" t="s">
        <v>99</v>
      </c>
      <c r="F12" s="4">
        <v>6</v>
      </c>
      <c r="G12" s="4" t="str">
        <f t="shared" si="12"/>
        <v>TestAp_6</v>
      </c>
      <c r="H12" s="4" t="s">
        <v>82</v>
      </c>
      <c r="I12" s="3" t="s">
        <v>103</v>
      </c>
      <c r="J12" s="3" t="s">
        <v>103</v>
      </c>
      <c r="K12" s="4">
        <v>1</v>
      </c>
      <c r="L12" s="4" t="s">
        <v>85</v>
      </c>
      <c r="M12" s="4">
        <v>4</v>
      </c>
      <c r="N12" s="4" t="s">
        <v>76</v>
      </c>
      <c r="O12" s="3" t="s">
        <v>103</v>
      </c>
      <c r="P12" s="3" t="s">
        <v>103</v>
      </c>
      <c r="Q12" s="3" t="s">
        <v>104</v>
      </c>
      <c r="R12" s="6">
        <v>73.3</v>
      </c>
      <c r="S12" s="6">
        <v>66</v>
      </c>
      <c r="T12" s="6">
        <v>80.3</v>
      </c>
      <c r="U12" s="6">
        <v>102.6</v>
      </c>
      <c r="V12" s="4">
        <v>0</v>
      </c>
      <c r="W12" s="4" t="s">
        <v>78</v>
      </c>
      <c r="X12" s="33" t="s">
        <v>61</v>
      </c>
      <c r="Y12" s="32">
        <v>27931</v>
      </c>
      <c r="AA12" s="9">
        <f t="shared" si="13"/>
        <v>0.62009648476517842</v>
      </c>
      <c r="AB12" s="9">
        <f t="shared" si="14"/>
        <v>0.77303373280373044</v>
      </c>
      <c r="AD12" s="15" t="s">
        <v>17</v>
      </c>
      <c r="AE12" s="7">
        <f t="shared" si="15"/>
        <v>8.0845937129300119E-2</v>
      </c>
      <c r="AF12" s="7">
        <f t="shared" si="16"/>
        <v>5.4577834618426253E-2</v>
      </c>
      <c r="AG12" s="7">
        <f t="shared" si="17"/>
        <v>76.8</v>
      </c>
      <c r="AH12" s="7">
        <f t="shared" si="18"/>
        <v>42.15</v>
      </c>
      <c r="AI12" s="7">
        <f t="shared" si="19"/>
        <v>0.62964022761332761</v>
      </c>
      <c r="AJ12" s="7">
        <f t="shared" si="20"/>
        <v>0.58176820023445885</v>
      </c>
      <c r="AK12" s="7">
        <f t="shared" si="21"/>
        <v>0.77942493375023347</v>
      </c>
      <c r="AL12" s="7">
        <f t="shared" si="22"/>
        <v>0.74736625912299548</v>
      </c>
    </row>
    <row r="13" spans="1:38" s="3" customFormat="1" ht="17" customHeight="1" x14ac:dyDescent="0.2">
      <c r="A13" s="5">
        <f t="shared" si="11"/>
        <v>7</v>
      </c>
      <c r="B13" s="5" t="s">
        <v>100</v>
      </c>
      <c r="C13" s="5" t="s">
        <v>101</v>
      </c>
      <c r="D13" s="3" t="s">
        <v>102</v>
      </c>
      <c r="E13" s="4" t="s">
        <v>99</v>
      </c>
      <c r="F13" s="4">
        <v>7</v>
      </c>
      <c r="G13" s="4" t="str">
        <f t="shared" si="12"/>
        <v>TestAp_7</v>
      </c>
      <c r="H13" s="4" t="s">
        <v>82</v>
      </c>
      <c r="I13" s="3" t="s">
        <v>103</v>
      </c>
      <c r="J13" s="3" t="s">
        <v>103</v>
      </c>
      <c r="K13" s="4">
        <v>1</v>
      </c>
      <c r="L13" s="4" t="s">
        <v>85</v>
      </c>
      <c r="M13" s="4">
        <v>4</v>
      </c>
      <c r="N13" s="4" t="s">
        <v>76</v>
      </c>
      <c r="O13" s="3" t="s">
        <v>103</v>
      </c>
      <c r="P13" s="3" t="s">
        <v>103</v>
      </c>
      <c r="Q13" s="3" t="s">
        <v>104</v>
      </c>
      <c r="R13" s="6">
        <v>64.2</v>
      </c>
      <c r="S13" s="6">
        <v>94.2</v>
      </c>
      <c r="T13" s="6">
        <v>64.2</v>
      </c>
      <c r="U13" s="6">
        <v>61.3</v>
      </c>
      <c r="V13" s="4">
        <v>0</v>
      </c>
      <c r="W13" s="4" t="s">
        <v>78</v>
      </c>
      <c r="X13" s="33" t="s">
        <v>61</v>
      </c>
      <c r="Y13" s="32">
        <v>27931</v>
      </c>
      <c r="AA13" s="9">
        <f t="shared" si="13"/>
        <v>0.58075299759262944</v>
      </c>
      <c r="AB13" s="9">
        <f t="shared" si="14"/>
        <v>0.75206879091305512</v>
      </c>
      <c r="AD13" s="15" t="s">
        <v>27</v>
      </c>
      <c r="AE13" s="7">
        <f t="shared" si="15"/>
        <v>9.0573869840029658E-2</v>
      </c>
      <c r="AF13" s="7">
        <f t="shared" si="16"/>
        <v>6.0036461620138031E-2</v>
      </c>
      <c r="AG13" s="7">
        <f t="shared" si="17"/>
        <v>64.2</v>
      </c>
      <c r="AH13" s="7">
        <f t="shared" si="18"/>
        <v>38.875</v>
      </c>
      <c r="AI13" s="7">
        <f t="shared" si="19"/>
        <v>0.59105866756670056</v>
      </c>
      <c r="AJ13" s="7">
        <f t="shared" si="20"/>
        <v>0.5393647647650347</v>
      </c>
      <c r="AK13" s="7">
        <f t="shared" si="21"/>
        <v>0.75897638389862732</v>
      </c>
      <c r="AL13" s="7">
        <f t="shared" si="22"/>
        <v>0.72432745362160078</v>
      </c>
    </row>
    <row r="14" spans="1:38" s="3" customFormat="1" ht="17" customHeight="1" x14ac:dyDescent="0.2">
      <c r="A14" s="5">
        <f t="shared" si="11"/>
        <v>8</v>
      </c>
      <c r="B14" s="5" t="s">
        <v>100</v>
      </c>
      <c r="C14" s="5" t="s">
        <v>101</v>
      </c>
      <c r="D14" s="3" t="s">
        <v>102</v>
      </c>
      <c r="E14" s="4" t="s">
        <v>99</v>
      </c>
      <c r="F14" s="4">
        <v>8</v>
      </c>
      <c r="G14" s="4" t="str">
        <f t="shared" si="12"/>
        <v>TestAp_8</v>
      </c>
      <c r="H14" s="4" t="s">
        <v>82</v>
      </c>
      <c r="I14" s="3" t="s">
        <v>103</v>
      </c>
      <c r="J14" s="3" t="s">
        <v>103</v>
      </c>
      <c r="K14" s="4">
        <v>1</v>
      </c>
      <c r="L14" s="4" t="s">
        <v>85</v>
      </c>
      <c r="M14" s="4">
        <v>4</v>
      </c>
      <c r="N14" s="4" t="s">
        <v>76</v>
      </c>
      <c r="O14" s="3" t="s">
        <v>103</v>
      </c>
      <c r="P14" s="3" t="s">
        <v>103</v>
      </c>
      <c r="Q14" s="3" t="s">
        <v>104</v>
      </c>
      <c r="R14" s="6">
        <v>145.6</v>
      </c>
      <c r="S14" s="6">
        <v>66.400000000000006</v>
      </c>
      <c r="T14" s="6">
        <v>148.5</v>
      </c>
      <c r="U14" s="6">
        <v>60.2</v>
      </c>
      <c r="V14" s="4">
        <v>2</v>
      </c>
      <c r="W14" s="4" t="s">
        <v>78</v>
      </c>
      <c r="X14" s="33" t="s">
        <v>61</v>
      </c>
      <c r="Y14" s="32">
        <v>27931</v>
      </c>
      <c r="AA14" s="9">
        <f t="shared" si="13"/>
        <v>0.59671359311517336</v>
      </c>
      <c r="AB14" s="9">
        <f t="shared" si="14"/>
        <v>0.72570314279312353</v>
      </c>
      <c r="AD14" s="15" t="s">
        <v>97</v>
      </c>
      <c r="AE14" s="7">
        <f t="shared" si="15"/>
        <v>8.6586598039484264E-2</v>
      </c>
      <c r="AF14" s="7">
        <f t="shared" si="16"/>
        <v>6.7021082876346977E-2</v>
      </c>
      <c r="AG14" s="7">
        <f t="shared" si="17"/>
        <v>147.05000000000001</v>
      </c>
      <c r="AH14" s="7">
        <f t="shared" si="18"/>
        <v>31.650000000000002</v>
      </c>
      <c r="AI14" s="7">
        <f t="shared" si="19"/>
        <v>0.6067170045961936</v>
      </c>
      <c r="AJ14" s="7">
        <f t="shared" si="20"/>
        <v>0.55653924981790326</v>
      </c>
      <c r="AK14" s="7">
        <f t="shared" si="21"/>
        <v>0.73323891450854195</v>
      </c>
      <c r="AL14" s="7">
        <f t="shared" si="22"/>
        <v>0.69543899935770859</v>
      </c>
    </row>
    <row r="15" spans="1:38" s="3" customFormat="1" ht="17" customHeight="1" x14ac:dyDescent="0.2">
      <c r="A15" s="5">
        <f t="shared" si="11"/>
        <v>9</v>
      </c>
      <c r="B15" s="5" t="s">
        <v>100</v>
      </c>
      <c r="C15" s="5" t="s">
        <v>101</v>
      </c>
      <c r="D15" s="3" t="s">
        <v>102</v>
      </c>
      <c r="E15" s="4" t="s">
        <v>99</v>
      </c>
      <c r="F15" s="4">
        <v>9</v>
      </c>
      <c r="G15" s="4" t="str">
        <f t="shared" si="12"/>
        <v>TestAp_9</v>
      </c>
      <c r="H15" s="4" t="s">
        <v>82</v>
      </c>
      <c r="I15" s="3" t="s">
        <v>103</v>
      </c>
      <c r="J15" s="3" t="s">
        <v>103</v>
      </c>
      <c r="K15" s="4">
        <v>1</v>
      </c>
      <c r="L15" s="4" t="s">
        <v>85</v>
      </c>
      <c r="M15" s="4">
        <v>4</v>
      </c>
      <c r="N15" s="4" t="s">
        <v>76</v>
      </c>
      <c r="O15" s="3" t="s">
        <v>103</v>
      </c>
      <c r="P15" s="3" t="s">
        <v>103</v>
      </c>
      <c r="Q15" s="3" t="s">
        <v>104</v>
      </c>
      <c r="R15" s="6">
        <v>117.5</v>
      </c>
      <c r="S15" s="6">
        <v>78.8</v>
      </c>
      <c r="T15" s="6">
        <v>131.69999999999999</v>
      </c>
      <c r="U15" s="6">
        <v>89.5</v>
      </c>
      <c r="V15" s="4">
        <v>2</v>
      </c>
      <c r="W15" s="4" t="s">
        <v>78</v>
      </c>
      <c r="X15" s="33" t="s">
        <v>61</v>
      </c>
      <c r="Y15" s="32">
        <v>27931</v>
      </c>
      <c r="AA15" s="9">
        <f t="shared" si="13"/>
        <v>0.66150905617486688</v>
      </c>
      <c r="AB15" s="9">
        <f t="shared" si="14"/>
        <v>0.78332276343165064</v>
      </c>
      <c r="AD15" s="15" t="s">
        <v>41</v>
      </c>
      <c r="AE15" s="7">
        <f t="shared" si="15"/>
        <v>7.0953325150284838E-2</v>
      </c>
      <c r="AF15" s="7">
        <f t="shared" si="16"/>
        <v>5.1928500375294825E-2</v>
      </c>
      <c r="AG15" s="7">
        <f t="shared" si="17"/>
        <v>124.6</v>
      </c>
      <c r="AH15" s="7">
        <f t="shared" si="18"/>
        <v>42.075000000000003</v>
      </c>
      <c r="AI15" s="7">
        <f t="shared" si="19"/>
        <v>0.67019284381473787</v>
      </c>
      <c r="AJ15" s="7">
        <f t="shared" si="20"/>
        <v>0.62663440701875894</v>
      </c>
      <c r="AK15" s="7">
        <f t="shared" si="21"/>
        <v>0.78945528360651618</v>
      </c>
      <c r="AL15" s="7">
        <f t="shared" si="22"/>
        <v>0.75869416835186942</v>
      </c>
    </row>
    <row r="16" spans="1:38" s="3" customFormat="1" ht="17" customHeight="1" x14ac:dyDescent="0.2">
      <c r="A16" s="5">
        <f t="shared" si="11"/>
        <v>10</v>
      </c>
      <c r="B16" s="5" t="s">
        <v>100</v>
      </c>
      <c r="C16" s="5" t="s">
        <v>101</v>
      </c>
      <c r="D16" s="3" t="s">
        <v>102</v>
      </c>
      <c r="E16" s="4" t="s">
        <v>99</v>
      </c>
      <c r="F16" s="4">
        <v>10</v>
      </c>
      <c r="G16" s="4" t="str">
        <f t="shared" si="12"/>
        <v>TestAp_10</v>
      </c>
      <c r="H16" s="4" t="s">
        <v>82</v>
      </c>
      <c r="I16" s="3" t="s">
        <v>103</v>
      </c>
      <c r="J16" s="3" t="s">
        <v>103</v>
      </c>
      <c r="K16" s="4">
        <v>1</v>
      </c>
      <c r="L16" s="4" t="s">
        <v>85</v>
      </c>
      <c r="M16" s="4">
        <v>4</v>
      </c>
      <c r="N16" s="4" t="s">
        <v>76</v>
      </c>
      <c r="O16" s="3" t="s">
        <v>103</v>
      </c>
      <c r="P16" s="3" t="s">
        <v>103</v>
      </c>
      <c r="Q16" s="3" t="s">
        <v>104</v>
      </c>
      <c r="R16" s="6">
        <v>134</v>
      </c>
      <c r="S16" s="6">
        <v>60.3</v>
      </c>
      <c r="T16" s="6">
        <v>125.4</v>
      </c>
      <c r="U16" s="6">
        <v>74.599999999999994</v>
      </c>
      <c r="V16" s="4">
        <v>0</v>
      </c>
      <c r="W16" s="4" t="s">
        <v>78</v>
      </c>
      <c r="X16" s="33" t="s">
        <v>61</v>
      </c>
      <c r="Y16" s="32">
        <v>27931</v>
      </c>
      <c r="AA16" s="9">
        <f t="shared" si="13"/>
        <v>0.60753473638187983</v>
      </c>
      <c r="AB16" s="9">
        <f t="shared" si="14"/>
        <v>0.73849415771205318</v>
      </c>
      <c r="AD16" s="15" t="s">
        <v>42</v>
      </c>
      <c r="AE16" s="7">
        <f t="shared" si="15"/>
        <v>8.3915382078617887E-2</v>
      </c>
      <c r="AF16" s="7">
        <f t="shared" si="16"/>
        <v>6.3615471182000102E-2</v>
      </c>
      <c r="AG16" s="7">
        <f t="shared" si="17"/>
        <v>129.69999999999999</v>
      </c>
      <c r="AH16" s="7">
        <f t="shared" si="18"/>
        <v>33.724999999999994</v>
      </c>
      <c r="AI16" s="7">
        <f t="shared" si="19"/>
        <v>0.61732785319911909</v>
      </c>
      <c r="AJ16" s="7">
        <f t="shared" si="20"/>
        <v>0.56820494996726423</v>
      </c>
      <c r="AK16" s="7">
        <f t="shared" si="21"/>
        <v>0.74572820582022237</v>
      </c>
      <c r="AL16" s="7">
        <f t="shared" si="22"/>
        <v>0.70944175567121315</v>
      </c>
    </row>
    <row r="17" spans="1:38" s="3" customFormat="1" ht="17" customHeight="1" x14ac:dyDescent="0.2">
      <c r="A17" s="5">
        <f t="shared" si="11"/>
        <v>11</v>
      </c>
      <c r="B17" s="5" t="s">
        <v>100</v>
      </c>
      <c r="C17" s="5" t="s">
        <v>101</v>
      </c>
      <c r="D17" s="3" t="s">
        <v>102</v>
      </c>
      <c r="E17" s="4" t="s">
        <v>99</v>
      </c>
      <c r="F17" s="4">
        <v>11</v>
      </c>
      <c r="G17" s="4" t="str">
        <f t="shared" si="12"/>
        <v>TestAp_11</v>
      </c>
      <c r="H17" s="4" t="s">
        <v>82</v>
      </c>
      <c r="I17" s="3" t="s">
        <v>103</v>
      </c>
      <c r="J17" s="3" t="s">
        <v>103</v>
      </c>
      <c r="K17" s="4">
        <v>1</v>
      </c>
      <c r="L17" s="4" t="s">
        <v>85</v>
      </c>
      <c r="M17" s="4">
        <v>4</v>
      </c>
      <c r="N17" s="4" t="s">
        <v>76</v>
      </c>
      <c r="O17" s="3" t="s">
        <v>103</v>
      </c>
      <c r="P17" s="3" t="s">
        <v>103</v>
      </c>
      <c r="Q17" s="3" t="s">
        <v>104</v>
      </c>
      <c r="R17" s="6">
        <v>221.9</v>
      </c>
      <c r="S17" s="6">
        <v>111.6</v>
      </c>
      <c r="T17" s="6">
        <v>219.6</v>
      </c>
      <c r="U17" s="6">
        <v>102.02</v>
      </c>
      <c r="V17" s="4">
        <v>2</v>
      </c>
      <c r="W17" s="4" t="s">
        <v>78</v>
      </c>
      <c r="X17" s="33" t="s">
        <v>61</v>
      </c>
      <c r="Y17" s="32">
        <v>27931</v>
      </c>
      <c r="AA17" s="9">
        <f t="shared" si="13"/>
        <v>0.74337969529372117</v>
      </c>
      <c r="AB17" s="9">
        <f t="shared" si="14"/>
        <v>0.83103487495676698</v>
      </c>
      <c r="AD17" s="15" t="s">
        <v>98</v>
      </c>
      <c r="AE17" s="7">
        <f t="shared" si="15"/>
        <v>5.2314399581055604E-2</v>
      </c>
      <c r="AF17" s="7">
        <f t="shared" si="16"/>
        <v>3.9884330119963021E-2</v>
      </c>
      <c r="AG17" s="7">
        <f t="shared" si="17"/>
        <v>220.75</v>
      </c>
      <c r="AH17" s="7">
        <f t="shared" si="18"/>
        <v>53.405000000000001</v>
      </c>
      <c r="AI17" s="7">
        <f t="shared" si="19"/>
        <v>0.75020997772912867</v>
      </c>
      <c r="AJ17" s="7">
        <f t="shared" si="20"/>
        <v>0.71594884213947385</v>
      </c>
      <c r="AK17" s="7">
        <f t="shared" si="21"/>
        <v>0.83592507534542093</v>
      </c>
      <c r="AL17" s="7">
        <f t="shared" si="22"/>
        <v>0.81139551596618864</v>
      </c>
    </row>
    <row r="18" spans="1:38" s="3" customFormat="1" ht="17" customHeight="1" x14ac:dyDescent="0.2">
      <c r="A18" s="5">
        <f t="shared" si="11"/>
        <v>12</v>
      </c>
      <c r="B18" s="5" t="s">
        <v>100</v>
      </c>
      <c r="C18" s="5" t="s">
        <v>101</v>
      </c>
      <c r="D18" s="3" t="s">
        <v>102</v>
      </c>
      <c r="E18" s="4" t="s">
        <v>99</v>
      </c>
      <c r="F18" s="4">
        <v>12</v>
      </c>
      <c r="G18" s="4" t="str">
        <f t="shared" si="12"/>
        <v>TestAp_12</v>
      </c>
      <c r="H18" s="4" t="s">
        <v>82</v>
      </c>
      <c r="I18" s="3" t="s">
        <v>103</v>
      </c>
      <c r="J18" s="3" t="s">
        <v>103</v>
      </c>
      <c r="K18" s="4">
        <v>1</v>
      </c>
      <c r="L18" s="4" t="s">
        <v>85</v>
      </c>
      <c r="M18" s="4">
        <v>4</v>
      </c>
      <c r="N18" s="4" t="s">
        <v>76</v>
      </c>
      <c r="O18" s="3" t="s">
        <v>103</v>
      </c>
      <c r="P18" s="3" t="s">
        <v>103</v>
      </c>
      <c r="Q18" s="3" t="s">
        <v>104</v>
      </c>
      <c r="R18" s="6">
        <v>211.5</v>
      </c>
      <c r="S18" s="6">
        <v>111.6</v>
      </c>
      <c r="T18" s="6">
        <v>204.9</v>
      </c>
      <c r="U18" s="6">
        <v>114.5</v>
      </c>
      <c r="V18" s="4">
        <v>2</v>
      </c>
      <c r="W18" s="4" t="s">
        <v>78</v>
      </c>
      <c r="X18" s="33" t="s">
        <v>61</v>
      </c>
      <c r="Y18" s="32">
        <v>27931</v>
      </c>
      <c r="AA18" s="9">
        <f t="shared" si="13"/>
        <v>0.75174047215563766</v>
      </c>
      <c r="AB18" s="9">
        <f t="shared" si="14"/>
        <v>0.83882434038122455</v>
      </c>
      <c r="AD18" s="15" t="s">
        <v>21</v>
      </c>
      <c r="AE18" s="7">
        <f t="shared" si="15"/>
        <v>5.0473020999693675E-2</v>
      </c>
      <c r="AF18" s="7">
        <f t="shared" si="16"/>
        <v>3.7954056186406002E-2</v>
      </c>
      <c r="AG18" s="7">
        <f t="shared" si="17"/>
        <v>208.2</v>
      </c>
      <c r="AH18" s="7">
        <f t="shared" si="18"/>
        <v>56.524999999999999</v>
      </c>
      <c r="AI18" s="7">
        <f t="shared" si="19"/>
        <v>0.75837110278516462</v>
      </c>
      <c r="AJ18" s="7">
        <f t="shared" si="20"/>
        <v>0.72511143348283857</v>
      </c>
      <c r="AK18" s="7">
        <f t="shared" si="21"/>
        <v>0.84350532891111429</v>
      </c>
      <c r="AL18" s="7">
        <f t="shared" si="22"/>
        <v>0.8200251896587758</v>
      </c>
    </row>
    <row r="19" spans="1:38" s="3" customFormat="1" ht="17" customHeight="1" x14ac:dyDescent="0.2">
      <c r="A19" s="5">
        <f t="shared" si="11"/>
        <v>13</v>
      </c>
      <c r="B19" s="5" t="s">
        <v>100</v>
      </c>
      <c r="C19" s="5" t="s">
        <v>101</v>
      </c>
      <c r="D19" s="3" t="s">
        <v>102</v>
      </c>
      <c r="E19" s="4" t="s">
        <v>99</v>
      </c>
      <c r="F19" s="4">
        <v>13</v>
      </c>
      <c r="G19" s="4" t="str">
        <f t="shared" si="12"/>
        <v>TestAp_13</v>
      </c>
      <c r="H19" s="4" t="s">
        <v>82</v>
      </c>
      <c r="I19" s="3" t="s">
        <v>103</v>
      </c>
      <c r="J19" s="3" t="s">
        <v>103</v>
      </c>
      <c r="K19" s="4">
        <v>1</v>
      </c>
      <c r="L19" s="4" t="s">
        <v>85</v>
      </c>
      <c r="M19" s="4">
        <v>4</v>
      </c>
      <c r="N19" s="4" t="s">
        <v>76</v>
      </c>
      <c r="O19" s="3" t="s">
        <v>103</v>
      </c>
      <c r="P19" s="3" t="s">
        <v>103</v>
      </c>
      <c r="Q19" s="3" t="s">
        <v>104</v>
      </c>
      <c r="R19" s="6">
        <v>183.2</v>
      </c>
      <c r="S19" s="6">
        <v>131.6</v>
      </c>
      <c r="T19" s="6">
        <v>186.9</v>
      </c>
      <c r="U19" s="6">
        <v>120.6</v>
      </c>
      <c r="V19" s="4">
        <v>2</v>
      </c>
      <c r="W19" s="4" t="s">
        <v>78</v>
      </c>
      <c r="X19" s="33" t="s">
        <v>61</v>
      </c>
      <c r="Y19" s="32">
        <v>27931</v>
      </c>
      <c r="AA19" s="9">
        <f t="shared" si="13"/>
        <v>0.76559357812699225</v>
      </c>
      <c r="AB19" s="9">
        <f t="shared" si="14"/>
        <v>0.85247668983121827</v>
      </c>
      <c r="AD19" s="15" t="s">
        <v>20</v>
      </c>
      <c r="AE19" s="7">
        <f t="shared" si="15"/>
        <v>4.7445478974433256E-2</v>
      </c>
      <c r="AF19" s="7">
        <f t="shared" si="16"/>
        <v>3.4594246662871191E-2</v>
      </c>
      <c r="AG19" s="7">
        <f t="shared" si="17"/>
        <v>185.05</v>
      </c>
      <c r="AH19" s="7">
        <f t="shared" si="18"/>
        <v>63.05</v>
      </c>
      <c r="AI19" s="7">
        <f t="shared" si="19"/>
        <v>0.77188948175717731</v>
      </c>
      <c r="AJ19" s="7">
        <f t="shared" si="20"/>
        <v>0.74030882459211311</v>
      </c>
      <c r="AK19" s="7">
        <f t="shared" si="21"/>
        <v>0.85678686544170934</v>
      </c>
      <c r="AL19" s="7">
        <f t="shared" si="22"/>
        <v>0.83516674762041077</v>
      </c>
    </row>
    <row r="20" spans="1:38" s="3" customFormat="1" ht="17" customHeight="1" x14ac:dyDescent="0.2">
      <c r="A20" s="5">
        <f t="shared" si="11"/>
        <v>14</v>
      </c>
      <c r="B20" s="5" t="s">
        <v>100</v>
      </c>
      <c r="C20" s="5" t="s">
        <v>101</v>
      </c>
      <c r="D20" s="3" t="s">
        <v>102</v>
      </c>
      <c r="E20" s="4" t="s">
        <v>99</v>
      </c>
      <c r="F20" s="4">
        <v>14</v>
      </c>
      <c r="G20" s="4" t="str">
        <f t="shared" si="12"/>
        <v>TestAp_14</v>
      </c>
      <c r="H20" s="4" t="s">
        <v>82</v>
      </c>
      <c r="I20" s="3" t="s">
        <v>103</v>
      </c>
      <c r="J20" s="3" t="s">
        <v>103</v>
      </c>
      <c r="K20" s="4">
        <v>1</v>
      </c>
      <c r="L20" s="4" t="s">
        <v>85</v>
      </c>
      <c r="M20" s="4">
        <v>4</v>
      </c>
      <c r="N20" s="4" t="s">
        <v>76</v>
      </c>
      <c r="O20" s="3" t="s">
        <v>103</v>
      </c>
      <c r="P20" s="3" t="s">
        <v>103</v>
      </c>
      <c r="Q20" s="3" t="s">
        <v>104</v>
      </c>
      <c r="R20" s="6">
        <v>214.8</v>
      </c>
      <c r="S20" s="6">
        <v>152.30000000000001</v>
      </c>
      <c r="T20" s="6">
        <v>212.3</v>
      </c>
      <c r="U20" s="6">
        <v>148</v>
      </c>
      <c r="V20" s="4">
        <v>2</v>
      </c>
      <c r="W20" s="4" t="s">
        <v>78</v>
      </c>
      <c r="X20" s="33" t="s">
        <v>61</v>
      </c>
      <c r="Y20" s="32">
        <v>27931</v>
      </c>
      <c r="AA20" s="9">
        <f t="shared" si="13"/>
        <v>0.79959172215838858</v>
      </c>
      <c r="AB20" s="9">
        <f t="shared" si="14"/>
        <v>0.87503430175298669</v>
      </c>
      <c r="AD20" s="15" t="s">
        <v>22</v>
      </c>
      <c r="AE20" s="7">
        <f t="shared" si="15"/>
        <v>4.0134718945301948E-2</v>
      </c>
      <c r="AF20" s="7">
        <f t="shared" si="16"/>
        <v>2.9106147111298133E-2</v>
      </c>
      <c r="AG20" s="7">
        <f t="shared" si="17"/>
        <v>213.55</v>
      </c>
      <c r="AH20" s="7">
        <f t="shared" si="18"/>
        <v>75.075000000000003</v>
      </c>
      <c r="AI20" s="7">
        <f t="shared" si="19"/>
        <v>0.80504619437471781</v>
      </c>
      <c r="AJ20" s="7">
        <f t="shared" si="20"/>
        <v>0.77768621124943571</v>
      </c>
      <c r="AK20" s="7">
        <f t="shared" si="21"/>
        <v>0.87872057152465455</v>
      </c>
      <c r="AL20" s="7">
        <f t="shared" si="22"/>
        <v>0.86023000548122819</v>
      </c>
    </row>
    <row r="21" spans="1:38" s="3" customFormat="1" ht="17" customHeight="1" x14ac:dyDescent="0.2">
      <c r="A21" s="5">
        <f t="shared" si="11"/>
        <v>15</v>
      </c>
      <c r="B21" s="5" t="s">
        <v>100</v>
      </c>
      <c r="C21" s="5" t="s">
        <v>101</v>
      </c>
      <c r="D21" s="3" t="s">
        <v>102</v>
      </c>
      <c r="E21" s="4" t="s">
        <v>99</v>
      </c>
      <c r="F21" s="4">
        <v>15</v>
      </c>
      <c r="G21" s="4" t="str">
        <f t="shared" si="12"/>
        <v>TestAp_15</v>
      </c>
      <c r="H21" s="4" t="s">
        <v>82</v>
      </c>
      <c r="I21" s="3" t="s">
        <v>103</v>
      </c>
      <c r="J21" s="3" t="s">
        <v>103</v>
      </c>
      <c r="K21" s="4">
        <v>1</v>
      </c>
      <c r="L21" s="4" t="s">
        <v>85</v>
      </c>
      <c r="M21" s="4">
        <v>4</v>
      </c>
      <c r="N21" s="4" t="s">
        <v>76</v>
      </c>
      <c r="O21" s="3" t="s">
        <v>103</v>
      </c>
      <c r="P21" s="3" t="s">
        <v>103</v>
      </c>
      <c r="Q21" s="3" t="s">
        <v>104</v>
      </c>
      <c r="R21" s="6">
        <v>195.9</v>
      </c>
      <c r="S21" s="6">
        <v>115.7</v>
      </c>
      <c r="T21" s="6">
        <v>194.3</v>
      </c>
      <c r="U21" s="6">
        <v>124.6</v>
      </c>
      <c r="V21" s="4">
        <v>2</v>
      </c>
      <c r="W21" s="4" t="s">
        <v>78</v>
      </c>
      <c r="X21" s="33" t="s">
        <v>61</v>
      </c>
      <c r="Y21" s="32">
        <v>27931</v>
      </c>
      <c r="AA21" s="9">
        <f t="shared" si="13"/>
        <v>0.75982305247542281</v>
      </c>
      <c r="AB21" s="9">
        <f t="shared" si="14"/>
        <v>0.8466477160452357</v>
      </c>
      <c r="AD21" s="15" t="s">
        <v>23</v>
      </c>
      <c r="AE21" s="7">
        <f t="shared" si="15"/>
        <v>4.8703088335889717E-2</v>
      </c>
      <c r="AF21" s="7">
        <f t="shared" si="16"/>
        <v>3.6025146253839117E-2</v>
      </c>
      <c r="AG21" s="7">
        <f t="shared" si="17"/>
        <v>195.10000000000002</v>
      </c>
      <c r="AH21" s="7">
        <f t="shared" si="18"/>
        <v>60.075000000000003</v>
      </c>
      <c r="AI21" s="7">
        <f t="shared" si="19"/>
        <v>0.76625897446023483</v>
      </c>
      <c r="AJ21" s="7">
        <f t="shared" si="20"/>
        <v>0.73397597623119748</v>
      </c>
      <c r="AK21" s="7">
        <f t="shared" si="21"/>
        <v>0.85111685056599706</v>
      </c>
      <c r="AL21" s="7">
        <f t="shared" si="22"/>
        <v>0.82869938463655579</v>
      </c>
    </row>
    <row r="22" spans="1:38" s="3" customFormat="1" ht="17" customHeight="1" x14ac:dyDescent="0.2">
      <c r="A22" s="5">
        <f t="shared" si="11"/>
        <v>16</v>
      </c>
      <c r="B22" s="5" t="s">
        <v>100</v>
      </c>
      <c r="C22" s="5" t="s">
        <v>101</v>
      </c>
      <c r="D22" s="3" t="s">
        <v>102</v>
      </c>
      <c r="E22" s="4" t="s">
        <v>99</v>
      </c>
      <c r="F22" s="4">
        <v>16</v>
      </c>
      <c r="G22" s="4" t="str">
        <f t="shared" si="12"/>
        <v>TestAp_16</v>
      </c>
      <c r="H22" s="4" t="s">
        <v>82</v>
      </c>
      <c r="I22" s="3" t="s">
        <v>103</v>
      </c>
      <c r="J22" s="3" t="s">
        <v>103</v>
      </c>
      <c r="K22" s="4">
        <v>1</v>
      </c>
      <c r="L22" s="4" t="s">
        <v>85</v>
      </c>
      <c r="M22" s="4">
        <v>4</v>
      </c>
      <c r="N22" s="4" t="s">
        <v>76</v>
      </c>
      <c r="O22" s="3" t="s">
        <v>103</v>
      </c>
      <c r="P22" s="3" t="s">
        <v>103</v>
      </c>
      <c r="Q22" s="3" t="s">
        <v>104</v>
      </c>
      <c r="R22" s="6">
        <v>156.30000000000001</v>
      </c>
      <c r="S22" s="6">
        <v>90.4</v>
      </c>
      <c r="T22" s="6">
        <v>158.4</v>
      </c>
      <c r="U22" s="6">
        <v>86.9</v>
      </c>
      <c r="V22" s="4">
        <v>2</v>
      </c>
      <c r="W22" s="4" t="s">
        <v>78</v>
      </c>
      <c r="X22" s="33" t="s">
        <v>61</v>
      </c>
      <c r="Y22" s="32">
        <v>27931</v>
      </c>
      <c r="AA22" s="9">
        <f t="shared" si="13"/>
        <v>0.6878707301214726</v>
      </c>
      <c r="AB22" s="9">
        <f t="shared" si="14"/>
        <v>0.79641121239988555</v>
      </c>
      <c r="AD22" s="15" t="s">
        <v>26</v>
      </c>
      <c r="AE22" s="7">
        <f t="shared" si="15"/>
        <v>6.4825577175264812E-2</v>
      </c>
      <c r="AF22" s="7">
        <f t="shared" si="16"/>
        <v>4.8585650198014883E-2</v>
      </c>
      <c r="AG22" s="7">
        <f t="shared" si="17"/>
        <v>157.35000000000002</v>
      </c>
      <c r="AH22" s="7">
        <f t="shared" si="18"/>
        <v>44.325000000000003</v>
      </c>
      <c r="AI22" s="7">
        <f t="shared" si="19"/>
        <v>0.69597878263785262</v>
      </c>
      <c r="AJ22" s="7">
        <f t="shared" si="20"/>
        <v>0.65530827021633242</v>
      </c>
      <c r="AK22" s="7">
        <f t="shared" si="21"/>
        <v>0.80220982943996211</v>
      </c>
      <c r="AL22" s="7">
        <f t="shared" si="22"/>
        <v>0.77312359376503981</v>
      </c>
    </row>
    <row r="23" spans="1:38" s="3" customFormat="1" ht="17" customHeight="1" x14ac:dyDescent="0.2">
      <c r="A23" s="5">
        <f t="shared" si="11"/>
        <v>17</v>
      </c>
      <c r="B23" s="5" t="s">
        <v>100</v>
      </c>
      <c r="C23" s="5" t="s">
        <v>101</v>
      </c>
      <c r="D23" s="3" t="s">
        <v>102</v>
      </c>
      <c r="E23" s="4" t="s">
        <v>99</v>
      </c>
      <c r="F23" s="4">
        <v>17</v>
      </c>
      <c r="G23" s="4" t="str">
        <f t="shared" si="12"/>
        <v>TestAp_17</v>
      </c>
      <c r="H23" s="4" t="s">
        <v>82</v>
      </c>
      <c r="I23" s="3" t="s">
        <v>103</v>
      </c>
      <c r="J23" s="3" t="s">
        <v>103</v>
      </c>
      <c r="K23" s="4">
        <v>1</v>
      </c>
      <c r="L23" s="4" t="s">
        <v>85</v>
      </c>
      <c r="M23" s="4">
        <v>4</v>
      </c>
      <c r="N23" s="4" t="s">
        <v>76</v>
      </c>
      <c r="O23" s="3" t="s">
        <v>103</v>
      </c>
      <c r="P23" s="3" t="s">
        <v>103</v>
      </c>
      <c r="Q23" s="3" t="s">
        <v>104</v>
      </c>
      <c r="R23" s="6">
        <v>219.1</v>
      </c>
      <c r="S23" s="6">
        <v>195.7</v>
      </c>
      <c r="T23" s="6">
        <v>212.7</v>
      </c>
      <c r="U23" s="6">
        <v>214</v>
      </c>
      <c r="V23" s="4">
        <v>0</v>
      </c>
      <c r="W23" s="4" t="s">
        <v>78</v>
      </c>
      <c r="X23" s="33" t="s">
        <v>61</v>
      </c>
      <c r="Y23" s="32">
        <v>27931</v>
      </c>
      <c r="AA23" s="9">
        <f t="shared" si="13"/>
        <v>0.83921407971329132</v>
      </c>
      <c r="AB23" s="9">
        <f t="shared" si="14"/>
        <v>0.90499959760490523</v>
      </c>
      <c r="AD23" s="15" t="s">
        <v>80</v>
      </c>
      <c r="AE23" s="7">
        <f t="shared" si="15"/>
        <v>3.1816635563952117E-2</v>
      </c>
      <c r="AF23" s="7">
        <f t="shared" si="16"/>
        <v>2.193281203171403E-2</v>
      </c>
      <c r="AG23" s="7">
        <f t="shared" si="17"/>
        <v>215.89999999999998</v>
      </c>
      <c r="AH23" s="7">
        <f t="shared" si="18"/>
        <v>102.425</v>
      </c>
      <c r="AI23" s="7">
        <f t="shared" si="19"/>
        <v>0.84365416500448298</v>
      </c>
      <c r="AJ23" s="7">
        <f t="shared" si="20"/>
        <v>0.82138241187718053</v>
      </c>
      <c r="AK23" s="7">
        <f t="shared" si="21"/>
        <v>0.90783633750191561</v>
      </c>
      <c r="AL23" s="7">
        <f t="shared" si="22"/>
        <v>0.89360706789803568</v>
      </c>
    </row>
    <row r="24" spans="1:38" s="3" customFormat="1" ht="17" customHeight="1" x14ac:dyDescent="0.2">
      <c r="A24" s="5">
        <f t="shared" si="11"/>
        <v>18</v>
      </c>
      <c r="B24" s="5" t="s">
        <v>100</v>
      </c>
      <c r="C24" s="5" t="s">
        <v>101</v>
      </c>
      <c r="D24" s="3" t="s">
        <v>102</v>
      </c>
      <c r="E24" s="4" t="s">
        <v>99</v>
      </c>
      <c r="F24" s="4">
        <v>18</v>
      </c>
      <c r="G24" s="4" t="str">
        <f t="shared" si="12"/>
        <v>TestAp_18</v>
      </c>
      <c r="H24" s="4" t="s">
        <v>82</v>
      </c>
      <c r="I24" s="3" t="s">
        <v>103</v>
      </c>
      <c r="J24" s="3" t="s">
        <v>103</v>
      </c>
      <c r="K24" s="4">
        <v>1</v>
      </c>
      <c r="L24" s="4" t="s">
        <v>85</v>
      </c>
      <c r="M24" s="4">
        <v>4</v>
      </c>
      <c r="N24" s="4" t="s">
        <v>76</v>
      </c>
      <c r="O24" s="3" t="s">
        <v>103</v>
      </c>
      <c r="P24" s="3" t="s">
        <v>103</v>
      </c>
      <c r="Q24" s="3" t="s">
        <v>104</v>
      </c>
      <c r="R24" s="6">
        <v>285.10000000000002</v>
      </c>
      <c r="S24" s="6">
        <v>147.80000000000001</v>
      </c>
      <c r="T24" s="6">
        <v>281.5</v>
      </c>
      <c r="U24" s="6">
        <v>143</v>
      </c>
      <c r="V24" s="4">
        <v>2</v>
      </c>
      <c r="W24" s="4" t="s">
        <v>78</v>
      </c>
      <c r="X24" s="33" t="s">
        <v>61</v>
      </c>
      <c r="Y24" s="32">
        <v>27931</v>
      </c>
      <c r="AA24" s="9">
        <f t="shared" si="13"/>
        <v>0.80572125872845124</v>
      </c>
      <c r="AB24" s="9">
        <f t="shared" si="14"/>
        <v>0.87393282945805528</v>
      </c>
      <c r="AD24" s="15" t="s">
        <v>25</v>
      </c>
      <c r="AE24" s="7">
        <f t="shared" si="15"/>
        <v>3.8834069482727399E-2</v>
      </c>
      <c r="AF24" s="7">
        <f t="shared" si="16"/>
        <v>2.9372336546430823E-2</v>
      </c>
      <c r="AG24" s="7">
        <f t="shared" si="17"/>
        <v>283.3</v>
      </c>
      <c r="AH24" s="7">
        <f t="shared" si="18"/>
        <v>72.7</v>
      </c>
      <c r="AI24" s="7">
        <f t="shared" si="19"/>
        <v>0.81102112038168983</v>
      </c>
      <c r="AJ24" s="7">
        <f t="shared" si="20"/>
        <v>0.78443667377568604</v>
      </c>
      <c r="AK24" s="7">
        <f t="shared" si="21"/>
        <v>0.87764988152353141</v>
      </c>
      <c r="AL24" s="7">
        <f t="shared" si="22"/>
        <v>0.8590049095163842</v>
      </c>
    </row>
    <row r="25" spans="1:38" s="3" customFormat="1" ht="17" customHeight="1" x14ac:dyDescent="0.2">
      <c r="A25" s="5">
        <f t="shared" si="11"/>
        <v>19</v>
      </c>
      <c r="B25" s="5" t="s">
        <v>100</v>
      </c>
      <c r="C25" s="5" t="s">
        <v>101</v>
      </c>
      <c r="D25" s="3" t="s">
        <v>102</v>
      </c>
      <c r="E25" s="4" t="s">
        <v>99</v>
      </c>
      <c r="F25" s="4">
        <v>19</v>
      </c>
      <c r="G25" s="4" t="str">
        <f t="shared" si="12"/>
        <v>TestAp_19</v>
      </c>
      <c r="H25" s="4" t="s">
        <v>82</v>
      </c>
      <c r="I25" s="3" t="s">
        <v>103</v>
      </c>
      <c r="J25" s="3" t="s">
        <v>103</v>
      </c>
      <c r="K25" s="4">
        <v>1</v>
      </c>
      <c r="L25" s="4" t="s">
        <v>85</v>
      </c>
      <c r="M25" s="4">
        <v>4</v>
      </c>
      <c r="N25" s="4" t="s">
        <v>76</v>
      </c>
      <c r="O25" s="3" t="s">
        <v>103</v>
      </c>
      <c r="P25" s="3" t="s">
        <v>103</v>
      </c>
      <c r="Q25" s="3" t="s">
        <v>104</v>
      </c>
      <c r="R25" s="6">
        <v>208.7</v>
      </c>
      <c r="S25" s="6">
        <v>168.4</v>
      </c>
      <c r="T25" s="6">
        <v>210.3</v>
      </c>
      <c r="U25" s="6">
        <v>160.5</v>
      </c>
      <c r="V25" s="4">
        <v>2</v>
      </c>
      <c r="W25" s="4" t="s">
        <v>78</v>
      </c>
      <c r="X25" s="33" t="s">
        <v>61</v>
      </c>
      <c r="Y25" s="32">
        <v>27931</v>
      </c>
      <c r="AA25" s="9">
        <f t="shared" si="13"/>
        <v>0.81136917550751486</v>
      </c>
      <c r="AB25" s="9">
        <f t="shared" si="14"/>
        <v>0.88449912490103977</v>
      </c>
      <c r="AD25" s="15" t="s">
        <v>29</v>
      </c>
      <c r="AE25" s="7">
        <f t="shared" si="15"/>
        <v>3.7640184864424775E-2</v>
      </c>
      <c r="AF25" s="7">
        <f t="shared" si="16"/>
        <v>2.6826240066875125E-2</v>
      </c>
      <c r="AG25" s="7">
        <f t="shared" si="17"/>
        <v>209.5</v>
      </c>
      <c r="AH25" s="7">
        <f t="shared" si="18"/>
        <v>82.224999999999994</v>
      </c>
      <c r="AI25" s="7">
        <f t="shared" si="19"/>
        <v>0.81652581172340544</v>
      </c>
      <c r="AJ25" s="7">
        <f t="shared" si="20"/>
        <v>0.79065979311438017</v>
      </c>
      <c r="AK25" s="7">
        <f t="shared" si="21"/>
        <v>0.88791956931990623</v>
      </c>
      <c r="AL25" s="7">
        <f t="shared" si="22"/>
        <v>0.87076240032727859</v>
      </c>
    </row>
    <row r="26" spans="1:38" s="3" customFormat="1" ht="17" customHeight="1" x14ac:dyDescent="0.2">
      <c r="A26" s="5">
        <f t="shared" si="11"/>
        <v>20</v>
      </c>
      <c r="B26" s="5" t="s">
        <v>100</v>
      </c>
      <c r="C26" s="5" t="s">
        <v>101</v>
      </c>
      <c r="D26" s="3" t="s">
        <v>102</v>
      </c>
      <c r="E26" s="4" t="s">
        <v>99</v>
      </c>
      <c r="F26" s="4">
        <v>20</v>
      </c>
      <c r="G26" s="4" t="str">
        <f t="shared" si="12"/>
        <v>TestAp_20</v>
      </c>
      <c r="H26" s="4" t="s">
        <v>82</v>
      </c>
      <c r="I26" s="3" t="s">
        <v>103</v>
      </c>
      <c r="J26" s="3" t="s">
        <v>103</v>
      </c>
      <c r="K26" s="4">
        <v>1</v>
      </c>
      <c r="L26" s="4" t="s">
        <v>85</v>
      </c>
      <c r="M26" s="4">
        <v>4</v>
      </c>
      <c r="N26" s="4" t="s">
        <v>76</v>
      </c>
      <c r="O26" s="3" t="s">
        <v>103</v>
      </c>
      <c r="P26" s="3" t="s">
        <v>103</v>
      </c>
      <c r="Q26" s="3" t="s">
        <v>104</v>
      </c>
      <c r="R26" s="6">
        <v>205.6</v>
      </c>
      <c r="S26" s="6">
        <v>189.5</v>
      </c>
      <c r="T26" s="6">
        <v>204.7</v>
      </c>
      <c r="U26" s="6">
        <v>195.8</v>
      </c>
      <c r="V26" s="4">
        <v>0</v>
      </c>
      <c r="W26" s="4" t="s">
        <v>78</v>
      </c>
      <c r="X26" s="33" t="s">
        <v>61</v>
      </c>
      <c r="Y26" s="32">
        <v>27931</v>
      </c>
      <c r="AA26" s="9">
        <f t="shared" si="13"/>
        <v>0.8300100459967491</v>
      </c>
      <c r="AB26" s="9">
        <f t="shared" si="14"/>
        <v>0.89924012202056558</v>
      </c>
      <c r="AD26" s="15" t="s">
        <v>74</v>
      </c>
      <c r="AE26" s="7">
        <f t="shared" si="15"/>
        <v>3.37302774349496E-2</v>
      </c>
      <c r="AF26" s="7">
        <f t="shared" si="16"/>
        <v>2.3301491904001419E-2</v>
      </c>
      <c r="AG26" s="7">
        <f t="shared" si="17"/>
        <v>205.14999999999998</v>
      </c>
      <c r="AH26" s="7">
        <f t="shared" si="18"/>
        <v>96.325000000000003</v>
      </c>
      <c r="AI26" s="7">
        <f t="shared" si="19"/>
        <v>0.83468887443025308</v>
      </c>
      <c r="AJ26" s="7">
        <f t="shared" si="20"/>
        <v>0.81121957036018699</v>
      </c>
      <c r="AK26" s="7">
        <f t="shared" si="21"/>
        <v>0.90224193075651904</v>
      </c>
      <c r="AL26" s="7">
        <f t="shared" si="22"/>
        <v>0.88718466524966821</v>
      </c>
    </row>
    <row r="27" spans="1:38" s="3" customFormat="1" ht="17" customHeight="1" x14ac:dyDescent="0.2">
      <c r="A27" s="5">
        <f t="shared" si="11"/>
        <v>21</v>
      </c>
      <c r="B27" s="5" t="s">
        <v>100</v>
      </c>
      <c r="C27" s="5" t="s">
        <v>101</v>
      </c>
      <c r="D27" s="3" t="s">
        <v>102</v>
      </c>
      <c r="E27" s="4" t="s">
        <v>99</v>
      </c>
      <c r="F27" s="4">
        <v>21</v>
      </c>
      <c r="G27" s="4" t="str">
        <f t="shared" si="12"/>
        <v>TestAp_21</v>
      </c>
      <c r="H27" s="4" t="s">
        <v>82</v>
      </c>
      <c r="I27" s="3" t="s">
        <v>103</v>
      </c>
      <c r="J27" s="3" t="s">
        <v>103</v>
      </c>
      <c r="K27" s="4">
        <v>1</v>
      </c>
      <c r="L27" s="4" t="s">
        <v>85</v>
      </c>
      <c r="M27" s="4">
        <v>4</v>
      </c>
      <c r="N27" s="4" t="s">
        <v>76</v>
      </c>
      <c r="O27" s="3" t="s">
        <v>103</v>
      </c>
      <c r="P27" s="3" t="s">
        <v>103</v>
      </c>
      <c r="Q27" s="3" t="s">
        <v>104</v>
      </c>
      <c r="R27" s="6">
        <v>166</v>
      </c>
      <c r="S27" s="6">
        <v>116.2</v>
      </c>
      <c r="T27" s="6">
        <v>163.69999999999999</v>
      </c>
      <c r="U27" s="6">
        <v>102.8</v>
      </c>
      <c r="V27" s="4">
        <v>0</v>
      </c>
      <c r="W27" s="4" t="s">
        <v>78</v>
      </c>
      <c r="X27" s="33" t="s">
        <v>61</v>
      </c>
      <c r="Y27" s="32">
        <v>27931</v>
      </c>
      <c r="AA27" s="9">
        <f t="shared" si="13"/>
        <v>0.73431094886686066</v>
      </c>
      <c r="AB27" s="9">
        <f t="shared" si="14"/>
        <v>0.83143743150974181</v>
      </c>
      <c r="AE27" s="7">
        <f t="shared" si="15"/>
        <v>5.4324022253522293E-2</v>
      </c>
      <c r="AF27" s="7">
        <f t="shared" si="16"/>
        <v>3.9784334174003483E-2</v>
      </c>
      <c r="AG27" s="7">
        <f t="shared" si="17"/>
        <v>164.85</v>
      </c>
      <c r="AH27" s="7">
        <f t="shared" si="18"/>
        <v>54.75</v>
      </c>
      <c r="AI27" s="7">
        <f t="shared" si="19"/>
        <v>0.74135573072334071</v>
      </c>
      <c r="AJ27" s="7">
        <f t="shared" si="20"/>
        <v>0.70601865225449123</v>
      </c>
      <c r="AK27" s="7">
        <f t="shared" si="21"/>
        <v>0.83631686247873549</v>
      </c>
      <c r="AL27" s="7">
        <f t="shared" si="22"/>
        <v>0.81184132320053026</v>
      </c>
    </row>
    <row r="28" spans="1:38" s="3" customFormat="1" ht="17" customHeight="1" x14ac:dyDescent="0.2">
      <c r="A28" s="5">
        <f t="shared" si="11"/>
        <v>22</v>
      </c>
      <c r="B28" s="5" t="s">
        <v>100</v>
      </c>
      <c r="C28" s="5" t="s">
        <v>101</v>
      </c>
      <c r="D28" s="3" t="s">
        <v>102</v>
      </c>
      <c r="E28" s="4" t="s">
        <v>99</v>
      </c>
      <c r="F28" s="4">
        <v>22</v>
      </c>
      <c r="G28" s="4" t="str">
        <f t="shared" si="12"/>
        <v>TestAp_22</v>
      </c>
      <c r="H28" s="4" t="s">
        <v>82</v>
      </c>
      <c r="I28" s="3" t="s">
        <v>103</v>
      </c>
      <c r="J28" s="3" t="s">
        <v>103</v>
      </c>
      <c r="K28" s="4">
        <v>1</v>
      </c>
      <c r="L28" s="4" t="s">
        <v>85</v>
      </c>
      <c r="M28" s="4">
        <v>4</v>
      </c>
      <c r="N28" s="4" t="s">
        <v>76</v>
      </c>
      <c r="O28" s="3" t="s">
        <v>103</v>
      </c>
      <c r="P28" s="3" t="s">
        <v>103</v>
      </c>
      <c r="Q28" s="3" t="s">
        <v>104</v>
      </c>
      <c r="R28" s="6">
        <v>205.2</v>
      </c>
      <c r="S28" s="6">
        <v>131.80000000000001</v>
      </c>
      <c r="T28" s="6">
        <v>204.5</v>
      </c>
      <c r="U28" s="6">
        <v>119.9</v>
      </c>
      <c r="V28" s="4">
        <v>0</v>
      </c>
      <c r="W28" s="4" t="s">
        <v>78</v>
      </c>
      <c r="X28" s="33" t="s">
        <v>61</v>
      </c>
      <c r="Y28" s="32">
        <v>27931</v>
      </c>
      <c r="AA28" s="9">
        <f t="shared" si="13"/>
        <v>0.77006864595145863</v>
      </c>
      <c r="AB28" s="9">
        <f t="shared" si="14"/>
        <v>0.85335198674119073</v>
      </c>
      <c r="AE28" s="7">
        <f t="shared" si="5"/>
        <v>4.647361088362862E-2</v>
      </c>
      <c r="AF28" s="7">
        <f t="shared" si="6"/>
        <v>3.4379836831294808E-2</v>
      </c>
      <c r="AG28" s="7">
        <f t="shared" si="2"/>
        <v>204.85</v>
      </c>
      <c r="AH28" s="7">
        <f t="shared" si="3"/>
        <v>62.925000000000004</v>
      </c>
      <c r="AI28" s="7">
        <f t="shared" si="7"/>
        <v>0.77625539446012748</v>
      </c>
      <c r="AJ28" s="7">
        <f t="shared" si="8"/>
        <v>0.7452222663985717</v>
      </c>
      <c r="AK28" s="7">
        <f t="shared" si="9"/>
        <v>0.85763821130540796</v>
      </c>
      <c r="AL28" s="7">
        <f t="shared" si="10"/>
        <v>0.83613823347124183</v>
      </c>
    </row>
    <row r="29" spans="1:38" s="3" customFormat="1" ht="17" customHeight="1" x14ac:dyDescent="0.2">
      <c r="A29" s="5">
        <f t="shared" si="11"/>
        <v>23</v>
      </c>
      <c r="B29" s="5" t="s">
        <v>100</v>
      </c>
      <c r="C29" s="5" t="s">
        <v>101</v>
      </c>
      <c r="D29" s="3" t="s">
        <v>102</v>
      </c>
      <c r="E29" s="4" t="s">
        <v>99</v>
      </c>
      <c r="F29" s="4">
        <v>23</v>
      </c>
      <c r="G29" s="4" t="str">
        <f t="shared" si="12"/>
        <v>TestAp_23</v>
      </c>
      <c r="H29" s="4" t="s">
        <v>82</v>
      </c>
      <c r="I29" s="3" t="s">
        <v>103</v>
      </c>
      <c r="J29" s="3" t="s">
        <v>103</v>
      </c>
      <c r="K29" s="4">
        <v>1</v>
      </c>
      <c r="L29" s="4" t="s">
        <v>85</v>
      </c>
      <c r="M29" s="4">
        <v>4</v>
      </c>
      <c r="N29" s="4" t="s">
        <v>76</v>
      </c>
      <c r="O29" s="3" t="s">
        <v>103</v>
      </c>
      <c r="P29" s="3" t="s">
        <v>103</v>
      </c>
      <c r="Q29" s="3" t="s">
        <v>104</v>
      </c>
      <c r="R29" s="6">
        <v>150.1</v>
      </c>
      <c r="S29" s="6">
        <v>92</v>
      </c>
      <c r="T29" s="6">
        <v>149.5</v>
      </c>
      <c r="U29" s="6">
        <v>89.8</v>
      </c>
      <c r="V29" s="4">
        <v>0</v>
      </c>
      <c r="W29" s="4" t="s">
        <v>78</v>
      </c>
      <c r="X29" s="33" t="s">
        <v>61</v>
      </c>
      <c r="Y29" s="32">
        <v>27931</v>
      </c>
      <c r="AA29" s="9">
        <f t="shared" si="13"/>
        <v>0.69069609834421586</v>
      </c>
      <c r="AB29" s="9">
        <f t="shared" si="14"/>
        <v>0.80015125722736158</v>
      </c>
      <c r="AE29" s="7">
        <f t="shared" si="5"/>
        <v>6.4176217354712767E-2</v>
      </c>
      <c r="AF29" s="7">
        <f t="shared" si="6"/>
        <v>4.7635938493715863E-2</v>
      </c>
      <c r="AG29" s="7">
        <f t="shared" si="2"/>
        <v>149.80000000000001</v>
      </c>
      <c r="AH29" s="7">
        <f t="shared" si="3"/>
        <v>45.45</v>
      </c>
      <c r="AI29" s="7">
        <f t="shared" si="7"/>
        <v>0.69874120984450738</v>
      </c>
      <c r="AJ29" s="7">
        <f t="shared" si="8"/>
        <v>0.65838641360408912</v>
      </c>
      <c r="AK29" s="7">
        <f t="shared" si="9"/>
        <v>0.80585348366207588</v>
      </c>
      <c r="AL29" s="7">
        <f t="shared" si="10"/>
        <v>0.77725074945742489</v>
      </c>
    </row>
    <row r="30" spans="1:38" s="3" customFormat="1" ht="17" customHeight="1" x14ac:dyDescent="0.2">
      <c r="A30" s="5">
        <f t="shared" si="11"/>
        <v>24</v>
      </c>
      <c r="B30" s="5" t="s">
        <v>100</v>
      </c>
      <c r="C30" s="5" t="s">
        <v>101</v>
      </c>
      <c r="D30" s="3" t="s">
        <v>102</v>
      </c>
      <c r="E30" s="4" t="s">
        <v>99</v>
      </c>
      <c r="F30" s="4">
        <v>24</v>
      </c>
      <c r="G30" s="4" t="str">
        <f t="shared" si="4"/>
        <v>TestAp_24</v>
      </c>
      <c r="H30" s="4" t="s">
        <v>82</v>
      </c>
      <c r="I30" s="3" t="s">
        <v>103</v>
      </c>
      <c r="J30" s="3" t="s">
        <v>103</v>
      </c>
      <c r="K30" s="4">
        <v>1</v>
      </c>
      <c r="L30" s="4" t="s">
        <v>85</v>
      </c>
      <c r="M30" s="4">
        <v>4</v>
      </c>
      <c r="N30" s="4" t="s">
        <v>76</v>
      </c>
      <c r="O30" s="3" t="s">
        <v>103</v>
      </c>
      <c r="P30" s="3" t="s">
        <v>103</v>
      </c>
      <c r="Q30" s="3" t="s">
        <v>104</v>
      </c>
      <c r="R30" s="6">
        <v>271.60000000000002</v>
      </c>
      <c r="S30" s="6">
        <v>179.2</v>
      </c>
      <c r="T30" s="6">
        <v>271</v>
      </c>
      <c r="U30" s="6">
        <v>130.9</v>
      </c>
      <c r="V30" s="4">
        <v>2</v>
      </c>
      <c r="W30" s="4" t="s">
        <v>78</v>
      </c>
      <c r="X30" s="33" t="s">
        <v>61</v>
      </c>
      <c r="Y30" s="32">
        <v>27931</v>
      </c>
      <c r="AA30" s="9">
        <f t="shared" si="0"/>
        <v>0.81360505719675968</v>
      </c>
      <c r="AB30" s="9">
        <f t="shared" si="1"/>
        <v>0.88071491547096936</v>
      </c>
      <c r="AE30" s="7">
        <f t="shared" si="5"/>
        <v>3.716875274054611E-2</v>
      </c>
      <c r="AF30" s="7">
        <f t="shared" si="6"/>
        <v>2.7736198672223614E-2</v>
      </c>
      <c r="AG30" s="7">
        <f t="shared" si="2"/>
        <v>271.3</v>
      </c>
      <c r="AH30" s="7">
        <f t="shared" si="3"/>
        <v>77.525000000000006</v>
      </c>
      <c r="AI30" s="7">
        <f t="shared" si="7"/>
        <v>0.818704793305153</v>
      </c>
      <c r="AJ30" s="7">
        <f t="shared" si="8"/>
        <v>0.7931241892915657</v>
      </c>
      <c r="AK30" s="7">
        <f t="shared" si="9"/>
        <v>0.88424192356929865</v>
      </c>
      <c r="AL30" s="7">
        <f t="shared" si="10"/>
        <v>0.86655022431302031</v>
      </c>
    </row>
    <row r="31" spans="1:38" s="3" customFormat="1" ht="17" customHeight="1" x14ac:dyDescent="0.2">
      <c r="A31" s="5">
        <f t="shared" si="11"/>
        <v>25</v>
      </c>
      <c r="B31" s="5" t="s">
        <v>100</v>
      </c>
      <c r="C31" s="5" t="s">
        <v>101</v>
      </c>
      <c r="D31" s="3" t="s">
        <v>102</v>
      </c>
      <c r="E31" s="4" t="s">
        <v>99</v>
      </c>
      <c r="F31" s="4">
        <v>25</v>
      </c>
      <c r="G31" s="4" t="str">
        <f t="shared" si="4"/>
        <v>TestAp_25</v>
      </c>
      <c r="H31" s="4" t="s">
        <v>82</v>
      </c>
      <c r="I31" s="3" t="s">
        <v>103</v>
      </c>
      <c r="J31" s="3" t="s">
        <v>103</v>
      </c>
      <c r="K31" s="4">
        <v>1</v>
      </c>
      <c r="L31" s="4" t="s">
        <v>85</v>
      </c>
      <c r="M31" s="4">
        <v>4</v>
      </c>
      <c r="N31" s="4" t="s">
        <v>76</v>
      </c>
      <c r="O31" s="3" t="s">
        <v>103</v>
      </c>
      <c r="P31" s="3" t="s">
        <v>103</v>
      </c>
      <c r="Q31" s="3" t="s">
        <v>104</v>
      </c>
      <c r="R31" s="6">
        <v>248.6</v>
      </c>
      <c r="S31" s="6">
        <v>126.5</v>
      </c>
      <c r="T31" s="6">
        <v>244.3</v>
      </c>
      <c r="U31" s="6">
        <v>123.5</v>
      </c>
      <c r="V31" s="4">
        <v>2</v>
      </c>
      <c r="W31" s="4" t="s">
        <v>78</v>
      </c>
      <c r="X31" s="33" t="s">
        <v>61</v>
      </c>
      <c r="Y31" s="32">
        <v>27931</v>
      </c>
      <c r="AA31" s="9">
        <f t="shared" si="0"/>
        <v>0.77653156614484642</v>
      </c>
      <c r="AB31" s="9">
        <f t="shared" si="1"/>
        <v>0.8542554481803134</v>
      </c>
      <c r="AE31" s="7">
        <f t="shared" si="5"/>
        <v>4.5075236356258874E-2</v>
      </c>
      <c r="AF31" s="7">
        <f t="shared" si="6"/>
        <v>3.4158652870764861E-2</v>
      </c>
      <c r="AG31" s="7">
        <f t="shared" si="2"/>
        <v>246.45</v>
      </c>
      <c r="AH31" s="7">
        <f t="shared" si="3"/>
        <v>62.5</v>
      </c>
      <c r="AI31" s="7">
        <f t="shared" si="7"/>
        <v>0.78255980286455995</v>
      </c>
      <c r="AJ31" s="7">
        <f t="shared" si="8"/>
        <v>0.75232178012190032</v>
      </c>
      <c r="AK31" s="7">
        <f t="shared" si="9"/>
        <v>0.85851692887145492</v>
      </c>
      <c r="AL31" s="7">
        <f t="shared" si="10"/>
        <v>0.83714106789460441</v>
      </c>
    </row>
    <row r="32" spans="1:38" s="3" customFormat="1" ht="17" customHeight="1" x14ac:dyDescent="0.2">
      <c r="A32" s="5">
        <f t="shared" si="11"/>
        <v>26</v>
      </c>
      <c r="B32" s="5" t="s">
        <v>100</v>
      </c>
      <c r="C32" s="5" t="s">
        <v>101</v>
      </c>
      <c r="D32" s="3" t="s">
        <v>102</v>
      </c>
      <c r="E32" s="4" t="s">
        <v>105</v>
      </c>
      <c r="F32" s="4">
        <v>1</v>
      </c>
      <c r="G32" s="4" t="str">
        <f t="shared" si="4"/>
        <v>TestZir_1</v>
      </c>
      <c r="H32" s="4" t="s">
        <v>83</v>
      </c>
      <c r="I32" s="3" t="s">
        <v>103</v>
      </c>
      <c r="J32" s="3" t="s">
        <v>103</v>
      </c>
      <c r="K32" s="4">
        <v>1</v>
      </c>
      <c r="L32" s="4" t="s">
        <v>85</v>
      </c>
      <c r="M32" s="4">
        <v>3</v>
      </c>
      <c r="N32" s="4" t="s">
        <v>76</v>
      </c>
      <c r="O32" s="3" t="s">
        <v>103</v>
      </c>
      <c r="P32" s="3" t="s">
        <v>103</v>
      </c>
      <c r="Q32" s="3" t="s">
        <v>104</v>
      </c>
      <c r="R32" s="6">
        <v>325</v>
      </c>
      <c r="S32" s="6">
        <v>153</v>
      </c>
      <c r="T32" s="6">
        <v>263</v>
      </c>
      <c r="U32" s="6">
        <v>110</v>
      </c>
      <c r="V32" s="4">
        <v>1</v>
      </c>
      <c r="W32" s="4" t="s">
        <v>79</v>
      </c>
      <c r="X32" s="33" t="s">
        <v>61</v>
      </c>
      <c r="Y32" s="32">
        <v>27931</v>
      </c>
      <c r="AA32" s="9">
        <f t="shared" si="0"/>
        <v>0.79114419267697733</v>
      </c>
      <c r="AB32" s="9">
        <f t="shared" si="1"/>
        <v>0.86218652435972598</v>
      </c>
      <c r="AE32" s="7">
        <f t="shared" si="5"/>
        <v>4.1935800936344116E-2</v>
      </c>
      <c r="AF32" s="7">
        <f t="shared" si="6"/>
        <v>3.2222394661286569E-2</v>
      </c>
      <c r="AG32" s="7">
        <f t="shared" si="2"/>
        <v>294</v>
      </c>
      <c r="AH32" s="7">
        <f t="shared" si="3"/>
        <v>65.75</v>
      </c>
      <c r="AI32" s="7">
        <f t="shared" si="7"/>
        <v>0.79681031260372726</v>
      </c>
      <c r="AJ32" s="7">
        <f t="shared" si="8"/>
        <v>0.76838869096312201</v>
      </c>
      <c r="AK32" s="7">
        <f t="shared" si="9"/>
        <v>0.86622982998097686</v>
      </c>
      <c r="AL32" s="7">
        <f t="shared" si="10"/>
        <v>0.84594834917397965</v>
      </c>
    </row>
    <row r="33" spans="1:38" s="3" customFormat="1" ht="17" customHeight="1" x14ac:dyDescent="0.2">
      <c r="A33" s="5">
        <f t="shared" si="11"/>
        <v>27</v>
      </c>
      <c r="B33" s="5" t="s">
        <v>100</v>
      </c>
      <c r="C33" s="5" t="s">
        <v>101</v>
      </c>
      <c r="D33" s="3" t="s">
        <v>102</v>
      </c>
      <c r="E33" s="4" t="s">
        <v>105</v>
      </c>
      <c r="F33" s="4">
        <v>2</v>
      </c>
      <c r="G33" s="4" t="str">
        <f t="shared" si="4"/>
        <v>TestZir_2</v>
      </c>
      <c r="H33" s="4" t="s">
        <v>83</v>
      </c>
      <c r="I33" s="3" t="s">
        <v>103</v>
      </c>
      <c r="J33" s="3" t="s">
        <v>103</v>
      </c>
      <c r="K33" s="4">
        <v>1</v>
      </c>
      <c r="L33" s="4" t="s">
        <v>85</v>
      </c>
      <c r="M33" s="4">
        <v>3</v>
      </c>
      <c r="N33" s="4" t="s">
        <v>76</v>
      </c>
      <c r="O33" s="3" t="s">
        <v>103</v>
      </c>
      <c r="P33" s="3" t="s">
        <v>103</v>
      </c>
      <c r="Q33" s="3" t="s">
        <v>104</v>
      </c>
      <c r="R33" s="6">
        <v>356</v>
      </c>
      <c r="S33" s="6">
        <v>153</v>
      </c>
      <c r="T33" s="6">
        <v>355</v>
      </c>
      <c r="U33" s="6">
        <v>131</v>
      </c>
      <c r="V33" s="4">
        <v>2</v>
      </c>
      <c r="W33" s="4" t="s">
        <v>79</v>
      </c>
      <c r="X33" s="33" t="s">
        <v>61</v>
      </c>
      <c r="Y33" s="32">
        <v>27931</v>
      </c>
      <c r="AA33" s="9">
        <f t="shared" si="0"/>
        <v>0.80890239109276152</v>
      </c>
      <c r="AB33" s="9">
        <f t="shared" si="1"/>
        <v>0.87276516118779357</v>
      </c>
      <c r="AE33" s="7">
        <f t="shared" si="5"/>
        <v>3.8161090311206201E-2</v>
      </c>
      <c r="AF33" s="7">
        <f t="shared" si="6"/>
        <v>2.965472157841564E-2</v>
      </c>
      <c r="AG33" s="7">
        <f t="shared" si="2"/>
        <v>355.5</v>
      </c>
      <c r="AH33" s="7">
        <f t="shared" si="3"/>
        <v>71</v>
      </c>
      <c r="AI33" s="7">
        <f t="shared" si="7"/>
        <v>0.81412167194880702</v>
      </c>
      <c r="AJ33" s="7">
        <f t="shared" si="8"/>
        <v>0.78794142379940635</v>
      </c>
      <c r="AK33" s="7">
        <f t="shared" si="9"/>
        <v>0.87651481035554379</v>
      </c>
      <c r="AL33" s="7">
        <f t="shared" si="10"/>
        <v>0.85770632918879652</v>
      </c>
    </row>
    <row r="34" spans="1:38" s="3" customFormat="1" ht="17" customHeight="1" x14ac:dyDescent="0.2">
      <c r="A34" s="5">
        <f t="shared" si="11"/>
        <v>28</v>
      </c>
      <c r="B34" s="5" t="s">
        <v>100</v>
      </c>
      <c r="C34" s="5" t="s">
        <v>101</v>
      </c>
      <c r="D34" s="3" t="s">
        <v>102</v>
      </c>
      <c r="E34" s="4" t="s">
        <v>105</v>
      </c>
      <c r="F34" s="4">
        <v>3</v>
      </c>
      <c r="G34" s="4" t="str">
        <f t="shared" si="4"/>
        <v>TestZir_3</v>
      </c>
      <c r="H34" s="4" t="s">
        <v>83</v>
      </c>
      <c r="I34" s="3" t="s">
        <v>103</v>
      </c>
      <c r="J34" s="3" t="s">
        <v>103</v>
      </c>
      <c r="K34" s="4">
        <v>1</v>
      </c>
      <c r="L34" s="4" t="s">
        <v>85</v>
      </c>
      <c r="M34" s="4">
        <v>3</v>
      </c>
      <c r="N34" s="4" t="s">
        <v>76</v>
      </c>
      <c r="O34" s="3" t="s">
        <v>103</v>
      </c>
      <c r="P34" s="3" t="s">
        <v>103</v>
      </c>
      <c r="Q34" s="3" t="s">
        <v>104</v>
      </c>
      <c r="R34" s="6">
        <v>321</v>
      </c>
      <c r="S34" s="6">
        <v>98</v>
      </c>
      <c r="T34" s="6">
        <v>320</v>
      </c>
      <c r="U34" s="6">
        <v>91</v>
      </c>
      <c r="V34" s="4">
        <v>2</v>
      </c>
      <c r="W34" s="4" t="s">
        <v>79</v>
      </c>
      <c r="X34" s="33" t="s">
        <v>61</v>
      </c>
      <c r="Y34" s="32">
        <v>27931</v>
      </c>
      <c r="AA34" s="9">
        <f t="shared" si="0"/>
        <v>0.73069411333341661</v>
      </c>
      <c r="AB34" s="9">
        <f t="shared" si="1"/>
        <v>0.81447784969943449</v>
      </c>
      <c r="AE34" s="7">
        <f t="shared" si="5"/>
        <v>5.5129138498873291E-2</v>
      </c>
      <c r="AF34" s="7">
        <f t="shared" si="6"/>
        <v>4.4020173505352915E-2</v>
      </c>
      <c r="AG34" s="7">
        <f t="shared" si="2"/>
        <v>320.5</v>
      </c>
      <c r="AH34" s="7">
        <f t="shared" si="3"/>
        <v>47.25</v>
      </c>
      <c r="AI34" s="7">
        <f t="shared" si="7"/>
        <v>0.73782383628073378</v>
      </c>
      <c r="AJ34" s="7">
        <f t="shared" si="8"/>
        <v>0.7020606878421829</v>
      </c>
      <c r="AK34" s="7">
        <f t="shared" si="9"/>
        <v>0.81980690851510063</v>
      </c>
      <c r="AL34" s="7">
        <f t="shared" si="10"/>
        <v>0.79307600706623671</v>
      </c>
    </row>
    <row r="35" spans="1:38" s="3" customFormat="1" ht="17" customHeight="1" x14ac:dyDescent="0.2">
      <c r="A35" s="5">
        <f t="shared" si="11"/>
        <v>29</v>
      </c>
      <c r="B35" s="5" t="s">
        <v>100</v>
      </c>
      <c r="C35" s="5" t="s">
        <v>101</v>
      </c>
      <c r="D35" s="3" t="s">
        <v>102</v>
      </c>
      <c r="E35" s="4" t="s">
        <v>105</v>
      </c>
      <c r="F35" s="4">
        <v>4</v>
      </c>
      <c r="G35" s="4" t="str">
        <f t="shared" si="4"/>
        <v>TestZir_4</v>
      </c>
      <c r="H35" s="4" t="s">
        <v>83</v>
      </c>
      <c r="I35" s="3" t="s">
        <v>103</v>
      </c>
      <c r="J35" s="3" t="s">
        <v>103</v>
      </c>
      <c r="K35" s="4">
        <v>1</v>
      </c>
      <c r="L35" s="4" t="s">
        <v>85</v>
      </c>
      <c r="M35" s="4">
        <v>3</v>
      </c>
      <c r="N35" s="4" t="s">
        <v>76</v>
      </c>
      <c r="O35" s="3" t="s">
        <v>103</v>
      </c>
      <c r="P35" s="3" t="s">
        <v>103</v>
      </c>
      <c r="Q35" s="3" t="s">
        <v>104</v>
      </c>
      <c r="R35" s="6">
        <v>426</v>
      </c>
      <c r="S35" s="6">
        <v>200</v>
      </c>
      <c r="T35" s="6">
        <v>417</v>
      </c>
      <c r="U35" s="6">
        <v>201</v>
      </c>
      <c r="V35" s="4">
        <v>2</v>
      </c>
      <c r="W35" s="4" t="s">
        <v>79</v>
      </c>
      <c r="X35" s="33" t="s">
        <v>61</v>
      </c>
      <c r="Y35" s="32">
        <v>27931</v>
      </c>
      <c r="AA35" s="9">
        <f t="shared" si="0"/>
        <v>0.85876679615169027</v>
      </c>
      <c r="AB35" s="9">
        <f t="shared" si="1"/>
        <v>0.90816031844852074</v>
      </c>
      <c r="AE35" s="7">
        <f t="shared" si="5"/>
        <v>2.7787352496575879E-2</v>
      </c>
      <c r="AF35" s="7">
        <f t="shared" si="6"/>
        <v>2.1183695565357069E-2</v>
      </c>
      <c r="AG35" s="7">
        <f t="shared" si="2"/>
        <v>421.5</v>
      </c>
      <c r="AH35" s="7">
        <f t="shared" si="3"/>
        <v>100.25</v>
      </c>
      <c r="AI35" s="7">
        <f t="shared" si="7"/>
        <v>0.86269369164260701</v>
      </c>
      <c r="AJ35" s="7">
        <f t="shared" si="8"/>
        <v>0.84299613152953523</v>
      </c>
      <c r="AK35" s="7">
        <f t="shared" si="9"/>
        <v>0.91090611698571522</v>
      </c>
      <c r="AL35" s="7">
        <f t="shared" si="10"/>
        <v>0.89713301508629362</v>
      </c>
    </row>
    <row r="36" spans="1:38" s="3" customFormat="1" ht="17" customHeight="1" x14ac:dyDescent="0.2">
      <c r="A36" s="5">
        <f t="shared" si="11"/>
        <v>30</v>
      </c>
      <c r="B36" s="5" t="s">
        <v>100</v>
      </c>
      <c r="C36" s="5" t="s">
        <v>101</v>
      </c>
      <c r="D36" s="3" t="s">
        <v>102</v>
      </c>
      <c r="E36" s="4" t="s">
        <v>105</v>
      </c>
      <c r="F36" s="4">
        <v>5</v>
      </c>
      <c r="G36" s="4" t="str">
        <f t="shared" si="4"/>
        <v>TestZir_5</v>
      </c>
      <c r="H36" s="4" t="s">
        <v>83</v>
      </c>
      <c r="I36" s="3" t="s">
        <v>103</v>
      </c>
      <c r="J36" s="3" t="s">
        <v>103</v>
      </c>
      <c r="K36" s="4">
        <v>1</v>
      </c>
      <c r="L36" s="4" t="s">
        <v>85</v>
      </c>
      <c r="M36" s="4">
        <v>3</v>
      </c>
      <c r="N36" s="4" t="s">
        <v>76</v>
      </c>
      <c r="O36" s="3" t="s">
        <v>103</v>
      </c>
      <c r="P36" s="3" t="s">
        <v>103</v>
      </c>
      <c r="Q36" s="3" t="s">
        <v>104</v>
      </c>
      <c r="R36" s="6">
        <v>420</v>
      </c>
      <c r="S36" s="6">
        <v>186</v>
      </c>
      <c r="T36" s="6">
        <v>442</v>
      </c>
      <c r="U36" s="6">
        <v>144</v>
      </c>
      <c r="V36" s="4">
        <v>2</v>
      </c>
      <c r="W36" s="4" t="s">
        <v>79</v>
      </c>
      <c r="X36" s="33" t="s">
        <v>61</v>
      </c>
      <c r="Y36" s="32">
        <v>27931</v>
      </c>
      <c r="AA36" s="9">
        <f t="shared" ref="AA36:AA67" si="23">(1/1.249)*AI36+(1-(1/1.249))*AJ36</f>
        <v>0.83524567262003035</v>
      </c>
      <c r="AB36" s="9">
        <f t="shared" ref="AB36:AB67" si="24">(1/1.249)*AK36+(1-(1/1.249))*AL36</f>
        <v>0.89020248427857807</v>
      </c>
      <c r="AE36" s="7">
        <f t="shared" si="5"/>
        <v>3.264037122969838E-2</v>
      </c>
      <c r="AF36" s="7">
        <f t="shared" si="6"/>
        <v>2.545876397384518E-2</v>
      </c>
      <c r="AG36" s="7">
        <f t="shared" ref="AG36:AG67" si="25">(R36+T36)/2</f>
        <v>431</v>
      </c>
      <c r="AH36" s="7">
        <f t="shared" ref="AH36:AH67" si="26">(S36+U36)/4</f>
        <v>82.5</v>
      </c>
      <c r="AI36" s="7">
        <f t="shared" si="7"/>
        <v>0.83978891972459235</v>
      </c>
      <c r="AJ36" s="7">
        <f t="shared" si="8"/>
        <v>0.8169997003125522</v>
      </c>
      <c r="AK36" s="7">
        <f t="shared" si="9"/>
        <v>0.89346161869506102</v>
      </c>
      <c r="AL36" s="7">
        <f t="shared" si="10"/>
        <v>0.87711359103969055</v>
      </c>
    </row>
    <row r="37" spans="1:38" s="3" customFormat="1" ht="17" customHeight="1" x14ac:dyDescent="0.2">
      <c r="A37" s="5">
        <f t="shared" si="11"/>
        <v>31</v>
      </c>
      <c r="B37" s="5" t="s">
        <v>100</v>
      </c>
      <c r="C37" s="5" t="s">
        <v>101</v>
      </c>
      <c r="D37" s="3" t="s">
        <v>102</v>
      </c>
      <c r="E37" s="4" t="s">
        <v>105</v>
      </c>
      <c r="F37" s="4">
        <v>6</v>
      </c>
      <c r="G37" s="4" t="str">
        <f t="shared" si="4"/>
        <v>TestZir_6</v>
      </c>
      <c r="H37" s="4" t="s">
        <v>83</v>
      </c>
      <c r="I37" s="3" t="s">
        <v>103</v>
      </c>
      <c r="J37" s="3" t="s">
        <v>103</v>
      </c>
      <c r="K37" s="4">
        <v>1</v>
      </c>
      <c r="L37" s="4" t="s">
        <v>85</v>
      </c>
      <c r="M37" s="4">
        <v>3</v>
      </c>
      <c r="N37" s="4" t="s">
        <v>76</v>
      </c>
      <c r="O37" s="3" t="s">
        <v>103</v>
      </c>
      <c r="P37" s="3" t="s">
        <v>103</v>
      </c>
      <c r="Q37" s="3" t="s">
        <v>104</v>
      </c>
      <c r="R37" s="6">
        <v>403</v>
      </c>
      <c r="S37" s="6">
        <v>186</v>
      </c>
      <c r="T37" s="6">
        <v>418</v>
      </c>
      <c r="U37" s="6">
        <v>151</v>
      </c>
      <c r="V37" s="4">
        <v>2</v>
      </c>
      <c r="W37" s="4" t="s">
        <v>79</v>
      </c>
      <c r="X37" s="33" t="s">
        <v>61</v>
      </c>
      <c r="Y37" s="32">
        <v>27931</v>
      </c>
      <c r="AA37" s="9">
        <f t="shared" si="23"/>
        <v>0.83692998135641972</v>
      </c>
      <c r="AB37" s="9">
        <f t="shared" si="24"/>
        <v>0.89205869130920756</v>
      </c>
      <c r="AE37" s="7">
        <f t="shared" si="5"/>
        <v>3.2290504812470866E-2</v>
      </c>
      <c r="AF37" s="7">
        <f t="shared" si="6"/>
        <v>2.501472836556707E-2</v>
      </c>
      <c r="AG37" s="7">
        <f t="shared" si="25"/>
        <v>410.5</v>
      </c>
      <c r="AH37" s="7">
        <f t="shared" si="26"/>
        <v>84.25</v>
      </c>
      <c r="AI37" s="7">
        <f t="shared" si="7"/>
        <v>0.84142948511211457</v>
      </c>
      <c r="AJ37" s="7">
        <f t="shared" si="8"/>
        <v>0.81885968514880936</v>
      </c>
      <c r="AK37" s="7">
        <f t="shared" si="9"/>
        <v>0.8952651449896053</v>
      </c>
      <c r="AL37" s="7">
        <f t="shared" si="10"/>
        <v>0.87918136729154583</v>
      </c>
    </row>
    <row r="38" spans="1:38" s="3" customFormat="1" ht="17" customHeight="1" x14ac:dyDescent="0.2">
      <c r="A38" s="5">
        <f t="shared" si="11"/>
        <v>32</v>
      </c>
      <c r="B38" s="5"/>
      <c r="C38" s="5"/>
      <c r="E38" s="4"/>
      <c r="F38" s="4"/>
      <c r="G38" s="4" t="str">
        <f t="shared" si="4"/>
        <v>_</v>
      </c>
      <c r="H38" s="4"/>
      <c r="K38" s="4"/>
      <c r="L38" s="4"/>
      <c r="M38" s="4"/>
      <c r="N38" s="4"/>
      <c r="R38" s="6"/>
      <c r="S38" s="6"/>
      <c r="T38" s="6"/>
      <c r="U38" s="6"/>
      <c r="V38" s="4"/>
      <c r="W38" s="4"/>
      <c r="X38" s="4"/>
      <c r="AA38" s="9" t="e">
        <f t="shared" si="23"/>
        <v>#DIV/0!</v>
      </c>
      <c r="AB38" s="9" t="e">
        <f t="shared" si="24"/>
        <v>#DIV/0!</v>
      </c>
      <c r="AE38" s="7" t="e">
        <f t="shared" si="5"/>
        <v>#DIV/0!</v>
      </c>
      <c r="AF38" s="7" t="e">
        <f t="shared" si="6"/>
        <v>#DIV/0!</v>
      </c>
      <c r="AG38" s="7">
        <f t="shared" si="25"/>
        <v>0</v>
      </c>
      <c r="AH38" s="7">
        <f t="shared" si="26"/>
        <v>0</v>
      </c>
      <c r="AI38" s="7" t="e">
        <f t="shared" si="7"/>
        <v>#DIV/0!</v>
      </c>
      <c r="AJ38" s="7" t="e">
        <f t="shared" si="8"/>
        <v>#DIV/0!</v>
      </c>
      <c r="AK38" s="7" t="e">
        <f t="shared" si="9"/>
        <v>#DIV/0!</v>
      </c>
      <c r="AL38" s="7" t="e">
        <f t="shared" si="10"/>
        <v>#DIV/0!</v>
      </c>
    </row>
    <row r="39" spans="1:38" s="3" customFormat="1" ht="17" customHeight="1" x14ac:dyDescent="0.2">
      <c r="A39" s="5">
        <f t="shared" si="11"/>
        <v>33</v>
      </c>
      <c r="B39" s="5"/>
      <c r="C39" s="5"/>
      <c r="E39" s="4"/>
      <c r="F39" s="4"/>
      <c r="G39" s="4" t="str">
        <f t="shared" si="4"/>
        <v>_</v>
      </c>
      <c r="H39" s="4"/>
      <c r="K39" s="4"/>
      <c r="L39" s="4"/>
      <c r="M39" s="4"/>
      <c r="N39" s="4"/>
      <c r="R39" s="6"/>
      <c r="S39" s="6"/>
      <c r="T39" s="6"/>
      <c r="U39" s="6"/>
      <c r="V39" s="4"/>
      <c r="W39" s="4"/>
      <c r="X39" s="4"/>
      <c r="AA39" s="9" t="e">
        <f t="shared" si="23"/>
        <v>#DIV/0!</v>
      </c>
      <c r="AB39" s="9" t="e">
        <f t="shared" si="24"/>
        <v>#DIV/0!</v>
      </c>
      <c r="AE39" s="7" t="e">
        <f t="shared" si="5"/>
        <v>#DIV/0!</v>
      </c>
      <c r="AF39" s="7" t="e">
        <f t="shared" si="6"/>
        <v>#DIV/0!</v>
      </c>
      <c r="AG39" s="7">
        <f t="shared" si="25"/>
        <v>0</v>
      </c>
      <c r="AH39" s="7">
        <f t="shared" si="26"/>
        <v>0</v>
      </c>
      <c r="AI39" s="7" t="e">
        <f t="shared" si="7"/>
        <v>#DIV/0!</v>
      </c>
      <c r="AJ39" s="7" t="e">
        <f t="shared" si="8"/>
        <v>#DIV/0!</v>
      </c>
      <c r="AK39" s="7" t="e">
        <f t="shared" si="9"/>
        <v>#DIV/0!</v>
      </c>
      <c r="AL39" s="7" t="e">
        <f t="shared" si="10"/>
        <v>#DIV/0!</v>
      </c>
    </row>
    <row r="40" spans="1:38" s="3" customFormat="1" ht="17" customHeight="1" x14ac:dyDescent="0.2">
      <c r="A40" s="5">
        <f t="shared" si="11"/>
        <v>34</v>
      </c>
      <c r="B40" s="5"/>
      <c r="C40" s="5"/>
      <c r="E40" s="4"/>
      <c r="F40" s="4"/>
      <c r="G40" s="4" t="str">
        <f t="shared" si="4"/>
        <v>_</v>
      </c>
      <c r="H40" s="4"/>
      <c r="K40" s="4"/>
      <c r="L40" s="4"/>
      <c r="M40" s="4"/>
      <c r="N40" s="4"/>
      <c r="R40" s="6"/>
      <c r="S40" s="6"/>
      <c r="T40" s="6"/>
      <c r="U40" s="6"/>
      <c r="V40" s="4"/>
      <c r="W40" s="4"/>
      <c r="X40" s="4"/>
      <c r="AA40" s="9" t="e">
        <f t="shared" si="23"/>
        <v>#DIV/0!</v>
      </c>
      <c r="AB40" s="9" t="e">
        <f t="shared" si="24"/>
        <v>#DIV/0!</v>
      </c>
      <c r="AE40" s="7" t="e">
        <f t="shared" si="5"/>
        <v>#DIV/0!</v>
      </c>
      <c r="AF40" s="7" t="e">
        <f t="shared" si="6"/>
        <v>#DIV/0!</v>
      </c>
      <c r="AG40" s="7">
        <f t="shared" si="25"/>
        <v>0</v>
      </c>
      <c r="AH40" s="7">
        <f t="shared" si="26"/>
        <v>0</v>
      </c>
      <c r="AI40" s="7" t="e">
        <f t="shared" si="7"/>
        <v>#DIV/0!</v>
      </c>
      <c r="AJ40" s="7" t="e">
        <f t="shared" si="8"/>
        <v>#DIV/0!</v>
      </c>
      <c r="AK40" s="7" t="e">
        <f t="shared" si="9"/>
        <v>#DIV/0!</v>
      </c>
      <c r="AL40" s="7" t="e">
        <f t="shared" si="10"/>
        <v>#DIV/0!</v>
      </c>
    </row>
    <row r="41" spans="1:38" s="3" customFormat="1" ht="17" customHeight="1" x14ac:dyDescent="0.2">
      <c r="A41" s="5">
        <f t="shared" si="11"/>
        <v>35</v>
      </c>
      <c r="B41" s="5"/>
      <c r="C41" s="5"/>
      <c r="E41" s="4"/>
      <c r="F41" s="4"/>
      <c r="G41" s="4" t="str">
        <f t="shared" si="4"/>
        <v>_</v>
      </c>
      <c r="H41" s="4"/>
      <c r="K41" s="4"/>
      <c r="L41" s="4"/>
      <c r="M41" s="4"/>
      <c r="N41" s="4"/>
      <c r="R41" s="6"/>
      <c r="S41" s="6"/>
      <c r="T41" s="6"/>
      <c r="U41" s="6"/>
      <c r="V41" s="4"/>
      <c r="W41" s="4"/>
      <c r="X41" s="4"/>
      <c r="AA41" s="9" t="e">
        <f t="shared" si="23"/>
        <v>#DIV/0!</v>
      </c>
      <c r="AB41" s="9" t="e">
        <f t="shared" si="24"/>
        <v>#DIV/0!</v>
      </c>
      <c r="AE41" s="7" t="e">
        <f t="shared" si="5"/>
        <v>#DIV/0!</v>
      </c>
      <c r="AF41" s="7" t="e">
        <f t="shared" si="6"/>
        <v>#DIV/0!</v>
      </c>
      <c r="AG41" s="7">
        <f t="shared" si="25"/>
        <v>0</v>
      </c>
      <c r="AH41" s="7">
        <f t="shared" si="26"/>
        <v>0</v>
      </c>
      <c r="AI41" s="7" t="e">
        <f t="shared" si="7"/>
        <v>#DIV/0!</v>
      </c>
      <c r="AJ41" s="7" t="e">
        <f t="shared" si="8"/>
        <v>#DIV/0!</v>
      </c>
      <c r="AK41" s="7" t="e">
        <f t="shared" si="9"/>
        <v>#DIV/0!</v>
      </c>
      <c r="AL41" s="7" t="e">
        <f t="shared" si="10"/>
        <v>#DIV/0!</v>
      </c>
    </row>
    <row r="42" spans="1:38" s="3" customFormat="1" ht="17" customHeight="1" x14ac:dyDescent="0.2">
      <c r="A42" s="5">
        <f t="shared" si="11"/>
        <v>36</v>
      </c>
      <c r="B42" s="5"/>
      <c r="C42" s="5"/>
      <c r="E42" s="4"/>
      <c r="F42" s="4"/>
      <c r="G42" s="4" t="str">
        <f t="shared" si="4"/>
        <v>_</v>
      </c>
      <c r="H42" s="4"/>
      <c r="K42" s="4"/>
      <c r="L42" s="4"/>
      <c r="M42" s="4"/>
      <c r="N42" s="4"/>
      <c r="R42" s="6"/>
      <c r="S42" s="6"/>
      <c r="T42" s="6"/>
      <c r="U42" s="6"/>
      <c r="V42" s="4"/>
      <c r="W42" s="4"/>
      <c r="X42" s="4"/>
      <c r="AA42" s="9" t="e">
        <f t="shared" si="23"/>
        <v>#DIV/0!</v>
      </c>
      <c r="AB42" s="9" t="e">
        <f t="shared" si="24"/>
        <v>#DIV/0!</v>
      </c>
      <c r="AE42" s="7" t="e">
        <f t="shared" si="5"/>
        <v>#DIV/0!</v>
      </c>
      <c r="AF42" s="7" t="e">
        <f t="shared" si="6"/>
        <v>#DIV/0!</v>
      </c>
      <c r="AG42" s="7">
        <f t="shared" si="25"/>
        <v>0</v>
      </c>
      <c r="AH42" s="7">
        <f t="shared" si="26"/>
        <v>0</v>
      </c>
      <c r="AI42" s="7" t="e">
        <f t="shared" si="7"/>
        <v>#DIV/0!</v>
      </c>
      <c r="AJ42" s="7" t="e">
        <f t="shared" si="8"/>
        <v>#DIV/0!</v>
      </c>
      <c r="AK42" s="7" t="e">
        <f t="shared" si="9"/>
        <v>#DIV/0!</v>
      </c>
      <c r="AL42" s="7" t="e">
        <f t="shared" si="10"/>
        <v>#DIV/0!</v>
      </c>
    </row>
    <row r="43" spans="1:38" s="3" customFormat="1" ht="17" customHeight="1" x14ac:dyDescent="0.2">
      <c r="A43" s="5">
        <f t="shared" si="11"/>
        <v>37</v>
      </c>
      <c r="B43" s="5"/>
      <c r="C43" s="5"/>
      <c r="E43" s="4"/>
      <c r="F43" s="4"/>
      <c r="G43" s="4" t="str">
        <f t="shared" si="4"/>
        <v>_</v>
      </c>
      <c r="H43" s="4"/>
      <c r="K43" s="4"/>
      <c r="L43" s="4"/>
      <c r="M43" s="4"/>
      <c r="N43" s="4"/>
      <c r="R43" s="6"/>
      <c r="S43" s="6"/>
      <c r="T43" s="6"/>
      <c r="U43" s="6"/>
      <c r="V43" s="4"/>
      <c r="W43" s="4"/>
      <c r="X43" s="4"/>
      <c r="AA43" s="9" t="e">
        <f t="shared" si="23"/>
        <v>#DIV/0!</v>
      </c>
      <c r="AB43" s="9" t="e">
        <f t="shared" si="24"/>
        <v>#DIV/0!</v>
      </c>
      <c r="AE43" s="7" t="e">
        <f t="shared" si="5"/>
        <v>#DIV/0!</v>
      </c>
      <c r="AF43" s="7" t="e">
        <f t="shared" si="6"/>
        <v>#DIV/0!</v>
      </c>
      <c r="AG43" s="7">
        <f t="shared" si="25"/>
        <v>0</v>
      </c>
      <c r="AH43" s="7">
        <f t="shared" si="26"/>
        <v>0</v>
      </c>
      <c r="AI43" s="7" t="e">
        <f t="shared" si="7"/>
        <v>#DIV/0!</v>
      </c>
      <c r="AJ43" s="7" t="e">
        <f t="shared" si="8"/>
        <v>#DIV/0!</v>
      </c>
      <c r="AK43" s="7" t="e">
        <f t="shared" si="9"/>
        <v>#DIV/0!</v>
      </c>
      <c r="AL43" s="7" t="e">
        <f t="shared" si="10"/>
        <v>#DIV/0!</v>
      </c>
    </row>
    <row r="44" spans="1:38" s="3" customFormat="1" ht="17" customHeight="1" x14ac:dyDescent="0.2">
      <c r="A44" s="5">
        <f t="shared" si="11"/>
        <v>38</v>
      </c>
      <c r="B44" s="5"/>
      <c r="C44" s="5"/>
      <c r="E44" s="4"/>
      <c r="F44" s="4"/>
      <c r="G44" s="4" t="str">
        <f t="shared" si="4"/>
        <v>_</v>
      </c>
      <c r="H44" s="4"/>
      <c r="K44" s="4"/>
      <c r="L44" s="4"/>
      <c r="M44" s="4"/>
      <c r="N44" s="4"/>
      <c r="R44" s="6"/>
      <c r="S44" s="6"/>
      <c r="T44" s="6"/>
      <c r="U44" s="6"/>
      <c r="V44" s="4"/>
      <c r="W44" s="4"/>
      <c r="X44" s="4"/>
      <c r="AA44" s="9" t="e">
        <f t="shared" si="23"/>
        <v>#DIV/0!</v>
      </c>
      <c r="AB44" s="9" t="e">
        <f t="shared" si="24"/>
        <v>#DIV/0!</v>
      </c>
      <c r="AE44" s="7" t="e">
        <f t="shared" si="5"/>
        <v>#DIV/0!</v>
      </c>
      <c r="AF44" s="7" t="e">
        <f t="shared" si="6"/>
        <v>#DIV/0!</v>
      </c>
      <c r="AG44" s="7">
        <f t="shared" si="25"/>
        <v>0</v>
      </c>
      <c r="AH44" s="7">
        <f t="shared" si="26"/>
        <v>0</v>
      </c>
      <c r="AI44" s="7" t="e">
        <f t="shared" si="7"/>
        <v>#DIV/0!</v>
      </c>
      <c r="AJ44" s="7" t="e">
        <f t="shared" si="8"/>
        <v>#DIV/0!</v>
      </c>
      <c r="AK44" s="7" t="e">
        <f t="shared" si="9"/>
        <v>#DIV/0!</v>
      </c>
      <c r="AL44" s="7" t="e">
        <f t="shared" si="10"/>
        <v>#DIV/0!</v>
      </c>
    </row>
    <row r="45" spans="1:38" s="3" customFormat="1" ht="17" customHeight="1" x14ac:dyDescent="0.2">
      <c r="A45" s="5">
        <f t="shared" si="11"/>
        <v>39</v>
      </c>
      <c r="B45" s="5"/>
      <c r="C45" s="5"/>
      <c r="E45" s="4"/>
      <c r="F45" s="4"/>
      <c r="G45" s="4" t="str">
        <f t="shared" si="4"/>
        <v>_</v>
      </c>
      <c r="H45" s="4"/>
      <c r="K45" s="4"/>
      <c r="L45" s="4"/>
      <c r="M45" s="4"/>
      <c r="N45" s="4"/>
      <c r="R45" s="6"/>
      <c r="S45" s="6"/>
      <c r="T45" s="6"/>
      <c r="U45" s="6"/>
      <c r="V45" s="4"/>
      <c r="W45" s="4"/>
      <c r="X45" s="4"/>
      <c r="AA45" s="9" t="e">
        <f t="shared" si="23"/>
        <v>#DIV/0!</v>
      </c>
      <c r="AB45" s="9" t="e">
        <f t="shared" si="24"/>
        <v>#DIV/0!</v>
      </c>
      <c r="AE45" s="7" t="e">
        <f t="shared" si="5"/>
        <v>#DIV/0!</v>
      </c>
      <c r="AF45" s="7" t="e">
        <f t="shared" si="6"/>
        <v>#DIV/0!</v>
      </c>
      <c r="AG45" s="7">
        <f t="shared" si="25"/>
        <v>0</v>
      </c>
      <c r="AH45" s="7">
        <f t="shared" si="26"/>
        <v>0</v>
      </c>
      <c r="AI45" s="7" t="e">
        <f t="shared" si="7"/>
        <v>#DIV/0!</v>
      </c>
      <c r="AJ45" s="7" t="e">
        <f t="shared" si="8"/>
        <v>#DIV/0!</v>
      </c>
      <c r="AK45" s="7" t="e">
        <f t="shared" si="9"/>
        <v>#DIV/0!</v>
      </c>
      <c r="AL45" s="7" t="e">
        <f t="shared" si="10"/>
        <v>#DIV/0!</v>
      </c>
    </row>
    <row r="46" spans="1:38" s="3" customFormat="1" ht="17" customHeight="1" x14ac:dyDescent="0.2">
      <c r="A46" s="5">
        <f t="shared" si="11"/>
        <v>40</v>
      </c>
      <c r="B46" s="5"/>
      <c r="C46" s="5"/>
      <c r="E46" s="4"/>
      <c r="F46" s="4"/>
      <c r="G46" s="4" t="str">
        <f t="shared" si="4"/>
        <v>_</v>
      </c>
      <c r="H46" s="4"/>
      <c r="K46" s="4"/>
      <c r="L46" s="4"/>
      <c r="M46" s="4"/>
      <c r="N46" s="4"/>
      <c r="R46" s="6"/>
      <c r="S46" s="6"/>
      <c r="T46" s="6"/>
      <c r="U46" s="6"/>
      <c r="V46" s="4"/>
      <c r="W46" s="4"/>
      <c r="X46" s="4"/>
      <c r="AA46" s="9" t="e">
        <f t="shared" si="23"/>
        <v>#DIV/0!</v>
      </c>
      <c r="AB46" s="9" t="e">
        <f t="shared" si="24"/>
        <v>#DIV/0!</v>
      </c>
      <c r="AE46" s="7" t="e">
        <f t="shared" si="5"/>
        <v>#DIV/0!</v>
      </c>
      <c r="AF46" s="7" t="e">
        <f t="shared" si="6"/>
        <v>#DIV/0!</v>
      </c>
      <c r="AG46" s="7">
        <f t="shared" si="25"/>
        <v>0</v>
      </c>
      <c r="AH46" s="7">
        <f t="shared" si="26"/>
        <v>0</v>
      </c>
      <c r="AI46" s="7" t="e">
        <f t="shared" si="7"/>
        <v>#DIV/0!</v>
      </c>
      <c r="AJ46" s="7" t="e">
        <f t="shared" si="8"/>
        <v>#DIV/0!</v>
      </c>
      <c r="AK46" s="7" t="e">
        <f t="shared" si="9"/>
        <v>#DIV/0!</v>
      </c>
      <c r="AL46" s="7" t="e">
        <f t="shared" si="10"/>
        <v>#DIV/0!</v>
      </c>
    </row>
    <row r="47" spans="1:38" s="3" customFormat="1" ht="17" customHeight="1" x14ac:dyDescent="0.2">
      <c r="A47" s="5">
        <f t="shared" si="11"/>
        <v>41</v>
      </c>
      <c r="B47" s="5"/>
      <c r="C47" s="5"/>
      <c r="E47" s="4"/>
      <c r="F47" s="4"/>
      <c r="G47" s="4" t="str">
        <f t="shared" si="4"/>
        <v>_</v>
      </c>
      <c r="H47" s="4"/>
      <c r="K47" s="4"/>
      <c r="L47" s="4"/>
      <c r="M47" s="4"/>
      <c r="N47" s="4"/>
      <c r="R47" s="6"/>
      <c r="S47" s="6"/>
      <c r="T47" s="6"/>
      <c r="U47" s="6"/>
      <c r="V47" s="4"/>
      <c r="W47" s="4"/>
      <c r="X47" s="4"/>
      <c r="AA47" s="9" t="e">
        <f t="shared" si="23"/>
        <v>#DIV/0!</v>
      </c>
      <c r="AB47" s="9" t="e">
        <f t="shared" si="24"/>
        <v>#DIV/0!</v>
      </c>
      <c r="AE47" s="7" t="e">
        <f t="shared" si="5"/>
        <v>#DIV/0!</v>
      </c>
      <c r="AF47" s="7" t="e">
        <f t="shared" si="6"/>
        <v>#DIV/0!</v>
      </c>
      <c r="AG47" s="7">
        <f t="shared" si="25"/>
        <v>0</v>
      </c>
      <c r="AH47" s="7">
        <f t="shared" si="26"/>
        <v>0</v>
      </c>
      <c r="AI47" s="7" t="e">
        <f t="shared" si="7"/>
        <v>#DIV/0!</v>
      </c>
      <c r="AJ47" s="7" t="e">
        <f t="shared" si="8"/>
        <v>#DIV/0!</v>
      </c>
      <c r="AK47" s="7" t="e">
        <f t="shared" si="9"/>
        <v>#DIV/0!</v>
      </c>
      <c r="AL47" s="7" t="e">
        <f t="shared" si="10"/>
        <v>#DIV/0!</v>
      </c>
    </row>
    <row r="48" spans="1:38" s="3" customFormat="1" ht="17" customHeight="1" x14ac:dyDescent="0.2">
      <c r="A48" s="5">
        <f t="shared" si="11"/>
        <v>42</v>
      </c>
      <c r="B48" s="5"/>
      <c r="C48" s="5"/>
      <c r="E48" s="4"/>
      <c r="F48" s="4"/>
      <c r="G48" s="4" t="str">
        <f t="shared" si="4"/>
        <v>_</v>
      </c>
      <c r="H48" s="4"/>
      <c r="K48" s="4"/>
      <c r="L48" s="4"/>
      <c r="M48" s="4"/>
      <c r="N48" s="4"/>
      <c r="R48" s="6"/>
      <c r="S48" s="6"/>
      <c r="T48" s="6"/>
      <c r="U48" s="6"/>
      <c r="V48" s="4"/>
      <c r="W48" s="4"/>
      <c r="X48" s="4"/>
      <c r="AA48" s="9" t="e">
        <f t="shared" si="23"/>
        <v>#DIV/0!</v>
      </c>
      <c r="AB48" s="9" t="e">
        <f t="shared" si="24"/>
        <v>#DIV/0!</v>
      </c>
      <c r="AE48" s="7" t="e">
        <f t="shared" si="5"/>
        <v>#DIV/0!</v>
      </c>
      <c r="AF48" s="7" t="e">
        <f t="shared" si="6"/>
        <v>#DIV/0!</v>
      </c>
      <c r="AG48" s="7">
        <f t="shared" si="25"/>
        <v>0</v>
      </c>
      <c r="AH48" s="7">
        <f t="shared" si="26"/>
        <v>0</v>
      </c>
      <c r="AI48" s="7" t="e">
        <f t="shared" si="7"/>
        <v>#DIV/0!</v>
      </c>
      <c r="AJ48" s="7" t="e">
        <f t="shared" si="8"/>
        <v>#DIV/0!</v>
      </c>
      <c r="AK48" s="7" t="e">
        <f t="shared" si="9"/>
        <v>#DIV/0!</v>
      </c>
      <c r="AL48" s="7" t="e">
        <f t="shared" si="10"/>
        <v>#DIV/0!</v>
      </c>
    </row>
    <row r="49" spans="1:38" s="3" customFormat="1" ht="17" customHeight="1" x14ac:dyDescent="0.2">
      <c r="A49" s="5">
        <f t="shared" si="11"/>
        <v>43</v>
      </c>
      <c r="B49" s="5"/>
      <c r="C49" s="5"/>
      <c r="E49" s="4"/>
      <c r="F49" s="4"/>
      <c r="G49" s="4" t="str">
        <f t="shared" si="4"/>
        <v>_</v>
      </c>
      <c r="H49" s="4"/>
      <c r="K49" s="4"/>
      <c r="L49" s="4"/>
      <c r="M49" s="4"/>
      <c r="N49" s="4"/>
      <c r="R49" s="6"/>
      <c r="S49" s="6"/>
      <c r="T49" s="6"/>
      <c r="U49" s="6"/>
      <c r="V49" s="4"/>
      <c r="W49" s="4"/>
      <c r="X49" s="4"/>
      <c r="AA49" s="9" t="e">
        <f t="shared" si="23"/>
        <v>#DIV/0!</v>
      </c>
      <c r="AB49" s="9" t="e">
        <f t="shared" si="24"/>
        <v>#DIV/0!</v>
      </c>
      <c r="AE49" s="7" t="e">
        <f t="shared" si="5"/>
        <v>#DIV/0!</v>
      </c>
      <c r="AF49" s="7" t="e">
        <f t="shared" si="6"/>
        <v>#DIV/0!</v>
      </c>
      <c r="AG49" s="7">
        <f t="shared" si="25"/>
        <v>0</v>
      </c>
      <c r="AH49" s="7">
        <f t="shared" si="26"/>
        <v>0</v>
      </c>
      <c r="AI49" s="7" t="e">
        <f t="shared" si="7"/>
        <v>#DIV/0!</v>
      </c>
      <c r="AJ49" s="7" t="e">
        <f t="shared" si="8"/>
        <v>#DIV/0!</v>
      </c>
      <c r="AK49" s="7" t="e">
        <f t="shared" si="9"/>
        <v>#DIV/0!</v>
      </c>
      <c r="AL49" s="7" t="e">
        <f t="shared" si="10"/>
        <v>#DIV/0!</v>
      </c>
    </row>
    <row r="50" spans="1:38" s="3" customFormat="1" ht="17" customHeight="1" x14ac:dyDescent="0.2">
      <c r="A50" s="5">
        <f t="shared" si="11"/>
        <v>44</v>
      </c>
      <c r="B50" s="5"/>
      <c r="C50" s="5"/>
      <c r="E50" s="4"/>
      <c r="F50" s="4"/>
      <c r="G50" s="4" t="str">
        <f t="shared" si="4"/>
        <v>_</v>
      </c>
      <c r="H50" s="4"/>
      <c r="K50" s="4"/>
      <c r="L50" s="4"/>
      <c r="M50" s="4"/>
      <c r="N50" s="4"/>
      <c r="R50" s="6"/>
      <c r="S50" s="6"/>
      <c r="T50" s="6"/>
      <c r="U50" s="6"/>
      <c r="V50" s="4"/>
      <c r="W50" s="4"/>
      <c r="X50" s="4"/>
      <c r="AA50" s="9" t="e">
        <f t="shared" si="23"/>
        <v>#DIV/0!</v>
      </c>
      <c r="AB50" s="9" t="e">
        <f t="shared" si="24"/>
        <v>#DIV/0!</v>
      </c>
      <c r="AE50" s="7" t="e">
        <f t="shared" si="5"/>
        <v>#DIV/0!</v>
      </c>
      <c r="AF50" s="7" t="e">
        <f t="shared" si="6"/>
        <v>#DIV/0!</v>
      </c>
      <c r="AG50" s="7">
        <f t="shared" si="25"/>
        <v>0</v>
      </c>
      <c r="AH50" s="7">
        <f t="shared" si="26"/>
        <v>0</v>
      </c>
      <c r="AI50" s="7" t="e">
        <f t="shared" si="7"/>
        <v>#DIV/0!</v>
      </c>
      <c r="AJ50" s="7" t="e">
        <f t="shared" si="8"/>
        <v>#DIV/0!</v>
      </c>
      <c r="AK50" s="7" t="e">
        <f t="shared" si="9"/>
        <v>#DIV/0!</v>
      </c>
      <c r="AL50" s="7" t="e">
        <f t="shared" si="10"/>
        <v>#DIV/0!</v>
      </c>
    </row>
    <row r="51" spans="1:38" s="3" customFormat="1" ht="17" customHeight="1" x14ac:dyDescent="0.2">
      <c r="A51" s="5">
        <f t="shared" si="11"/>
        <v>45</v>
      </c>
      <c r="B51" s="5"/>
      <c r="C51" s="5"/>
      <c r="E51" s="4"/>
      <c r="F51" s="4"/>
      <c r="G51" s="4" t="str">
        <f t="shared" si="4"/>
        <v>_</v>
      </c>
      <c r="H51" s="4"/>
      <c r="K51" s="4"/>
      <c r="L51" s="4"/>
      <c r="M51" s="4"/>
      <c r="N51" s="4"/>
      <c r="R51" s="6"/>
      <c r="S51" s="6"/>
      <c r="T51" s="6"/>
      <c r="U51" s="6"/>
      <c r="V51" s="4"/>
      <c r="W51" s="4"/>
      <c r="X51" s="4"/>
      <c r="AA51" s="9" t="e">
        <f t="shared" si="23"/>
        <v>#DIV/0!</v>
      </c>
      <c r="AB51" s="9" t="e">
        <f t="shared" si="24"/>
        <v>#DIV/0!</v>
      </c>
      <c r="AE51" s="7" t="e">
        <f t="shared" si="5"/>
        <v>#DIV/0!</v>
      </c>
      <c r="AF51" s="7" t="e">
        <f t="shared" si="6"/>
        <v>#DIV/0!</v>
      </c>
      <c r="AG51" s="7">
        <f t="shared" si="25"/>
        <v>0</v>
      </c>
      <c r="AH51" s="7">
        <f t="shared" si="26"/>
        <v>0</v>
      </c>
      <c r="AI51" s="7" t="e">
        <f t="shared" si="7"/>
        <v>#DIV/0!</v>
      </c>
      <c r="AJ51" s="7" t="e">
        <f t="shared" si="8"/>
        <v>#DIV/0!</v>
      </c>
      <c r="AK51" s="7" t="e">
        <f t="shared" si="9"/>
        <v>#DIV/0!</v>
      </c>
      <c r="AL51" s="7" t="e">
        <f t="shared" si="10"/>
        <v>#DIV/0!</v>
      </c>
    </row>
    <row r="52" spans="1:38" s="3" customFormat="1" ht="17" customHeight="1" x14ac:dyDescent="0.2">
      <c r="A52" s="5">
        <f t="shared" si="11"/>
        <v>46</v>
      </c>
      <c r="B52" s="5"/>
      <c r="C52" s="5"/>
      <c r="E52" s="4"/>
      <c r="F52" s="4"/>
      <c r="G52" s="4" t="str">
        <f t="shared" si="4"/>
        <v>_</v>
      </c>
      <c r="H52" s="4"/>
      <c r="K52" s="4"/>
      <c r="L52" s="4"/>
      <c r="M52" s="4"/>
      <c r="N52" s="4"/>
      <c r="R52" s="6"/>
      <c r="S52" s="6"/>
      <c r="T52" s="6"/>
      <c r="U52" s="6"/>
      <c r="V52" s="4"/>
      <c r="W52" s="4"/>
      <c r="X52" s="4"/>
      <c r="AA52" s="9" t="e">
        <f t="shared" si="23"/>
        <v>#DIV/0!</v>
      </c>
      <c r="AB52" s="9" t="e">
        <f t="shared" si="24"/>
        <v>#DIV/0!</v>
      </c>
      <c r="AE52" s="7" t="e">
        <f t="shared" si="5"/>
        <v>#DIV/0!</v>
      </c>
      <c r="AF52" s="7" t="e">
        <f t="shared" si="6"/>
        <v>#DIV/0!</v>
      </c>
      <c r="AG52" s="7">
        <f t="shared" si="25"/>
        <v>0</v>
      </c>
      <c r="AH52" s="7">
        <f t="shared" si="26"/>
        <v>0</v>
      </c>
      <c r="AI52" s="7" t="e">
        <f t="shared" si="7"/>
        <v>#DIV/0!</v>
      </c>
      <c r="AJ52" s="7" t="e">
        <f t="shared" si="8"/>
        <v>#DIV/0!</v>
      </c>
      <c r="AK52" s="7" t="e">
        <f t="shared" si="9"/>
        <v>#DIV/0!</v>
      </c>
      <c r="AL52" s="7" t="e">
        <f t="shared" si="10"/>
        <v>#DIV/0!</v>
      </c>
    </row>
    <row r="53" spans="1:38" s="3" customFormat="1" ht="17" customHeight="1" x14ac:dyDescent="0.2">
      <c r="A53" s="5">
        <f t="shared" si="11"/>
        <v>47</v>
      </c>
      <c r="B53" s="5"/>
      <c r="C53" s="5"/>
      <c r="E53" s="4"/>
      <c r="F53" s="4"/>
      <c r="G53" s="4" t="str">
        <f t="shared" si="4"/>
        <v>_</v>
      </c>
      <c r="H53" s="4"/>
      <c r="K53" s="4"/>
      <c r="L53" s="4"/>
      <c r="M53" s="4"/>
      <c r="N53" s="4"/>
      <c r="R53" s="6"/>
      <c r="S53" s="6"/>
      <c r="T53" s="6"/>
      <c r="U53" s="6"/>
      <c r="V53" s="4"/>
      <c r="W53" s="4"/>
      <c r="X53" s="4"/>
      <c r="AA53" s="9" t="e">
        <f t="shared" si="23"/>
        <v>#DIV/0!</v>
      </c>
      <c r="AB53" s="9" t="e">
        <f t="shared" si="24"/>
        <v>#DIV/0!</v>
      </c>
      <c r="AE53" s="7" t="e">
        <f t="shared" si="5"/>
        <v>#DIV/0!</v>
      </c>
      <c r="AF53" s="7" t="e">
        <f t="shared" si="6"/>
        <v>#DIV/0!</v>
      </c>
      <c r="AG53" s="7">
        <f t="shared" si="25"/>
        <v>0</v>
      </c>
      <c r="AH53" s="7">
        <f t="shared" si="26"/>
        <v>0</v>
      </c>
      <c r="AI53" s="7" t="e">
        <f t="shared" si="7"/>
        <v>#DIV/0!</v>
      </c>
      <c r="AJ53" s="7" t="e">
        <f t="shared" si="8"/>
        <v>#DIV/0!</v>
      </c>
      <c r="AK53" s="7" t="e">
        <f t="shared" si="9"/>
        <v>#DIV/0!</v>
      </c>
      <c r="AL53" s="7" t="e">
        <f t="shared" si="10"/>
        <v>#DIV/0!</v>
      </c>
    </row>
    <row r="54" spans="1:38" s="3" customFormat="1" ht="17" customHeight="1" x14ac:dyDescent="0.2">
      <c r="A54" s="5">
        <f t="shared" si="11"/>
        <v>48</v>
      </c>
      <c r="B54" s="5"/>
      <c r="C54" s="5"/>
      <c r="E54" s="4"/>
      <c r="F54" s="4"/>
      <c r="G54" s="4" t="str">
        <f t="shared" si="4"/>
        <v>_</v>
      </c>
      <c r="H54" s="4"/>
      <c r="K54" s="4"/>
      <c r="L54" s="4"/>
      <c r="M54" s="4"/>
      <c r="N54" s="4"/>
      <c r="R54" s="6"/>
      <c r="S54" s="6"/>
      <c r="T54" s="6"/>
      <c r="U54" s="6"/>
      <c r="V54" s="4"/>
      <c r="W54" s="4"/>
      <c r="X54" s="4"/>
      <c r="AA54" s="9" t="e">
        <f t="shared" si="23"/>
        <v>#DIV/0!</v>
      </c>
      <c r="AB54" s="9" t="e">
        <f t="shared" si="24"/>
        <v>#DIV/0!</v>
      </c>
      <c r="AE54" s="7" t="e">
        <f t="shared" si="5"/>
        <v>#DIV/0!</v>
      </c>
      <c r="AF54" s="7" t="e">
        <f t="shared" si="6"/>
        <v>#DIV/0!</v>
      </c>
      <c r="AG54" s="7">
        <f t="shared" si="25"/>
        <v>0</v>
      </c>
      <c r="AH54" s="7">
        <f t="shared" si="26"/>
        <v>0</v>
      </c>
      <c r="AI54" s="7" t="e">
        <f t="shared" si="7"/>
        <v>#DIV/0!</v>
      </c>
      <c r="AJ54" s="7" t="e">
        <f t="shared" si="8"/>
        <v>#DIV/0!</v>
      </c>
      <c r="AK54" s="7" t="e">
        <f t="shared" si="9"/>
        <v>#DIV/0!</v>
      </c>
      <c r="AL54" s="7" t="e">
        <f t="shared" si="10"/>
        <v>#DIV/0!</v>
      </c>
    </row>
    <row r="55" spans="1:38" s="3" customFormat="1" ht="17" customHeight="1" x14ac:dyDescent="0.2">
      <c r="A55" s="5">
        <f t="shared" si="11"/>
        <v>49</v>
      </c>
      <c r="B55" s="5"/>
      <c r="C55" s="5"/>
      <c r="E55" s="4"/>
      <c r="F55" s="4"/>
      <c r="G55" s="4" t="str">
        <f t="shared" si="4"/>
        <v>_</v>
      </c>
      <c r="H55" s="4"/>
      <c r="K55" s="4"/>
      <c r="L55" s="4"/>
      <c r="M55" s="4"/>
      <c r="N55" s="4"/>
      <c r="R55" s="6"/>
      <c r="S55" s="6"/>
      <c r="T55" s="6"/>
      <c r="U55" s="6"/>
      <c r="V55" s="4"/>
      <c r="W55" s="4"/>
      <c r="X55" s="4"/>
      <c r="AA55" s="9" t="e">
        <f t="shared" si="23"/>
        <v>#DIV/0!</v>
      </c>
      <c r="AB55" s="9" t="e">
        <f t="shared" si="24"/>
        <v>#DIV/0!</v>
      </c>
      <c r="AE55" s="7" t="e">
        <f t="shared" si="5"/>
        <v>#DIV/0!</v>
      </c>
      <c r="AF55" s="7" t="e">
        <f t="shared" si="6"/>
        <v>#DIV/0!</v>
      </c>
      <c r="AG55" s="7">
        <f t="shared" si="25"/>
        <v>0</v>
      </c>
      <c r="AH55" s="7">
        <f t="shared" si="26"/>
        <v>0</v>
      </c>
      <c r="AI55" s="7" t="e">
        <f t="shared" si="7"/>
        <v>#DIV/0!</v>
      </c>
      <c r="AJ55" s="7" t="e">
        <f t="shared" si="8"/>
        <v>#DIV/0!</v>
      </c>
      <c r="AK55" s="7" t="e">
        <f t="shared" si="9"/>
        <v>#DIV/0!</v>
      </c>
      <c r="AL55" s="7" t="e">
        <f t="shared" si="10"/>
        <v>#DIV/0!</v>
      </c>
    </row>
    <row r="56" spans="1:38" s="3" customFormat="1" ht="17" customHeight="1" x14ac:dyDescent="0.2">
      <c r="A56" s="5">
        <f t="shared" si="11"/>
        <v>50</v>
      </c>
      <c r="B56" s="5"/>
      <c r="C56" s="5"/>
      <c r="E56" s="4"/>
      <c r="F56" s="4"/>
      <c r="G56" s="4" t="str">
        <f t="shared" si="4"/>
        <v>_</v>
      </c>
      <c r="H56" s="4"/>
      <c r="K56" s="4"/>
      <c r="L56" s="4"/>
      <c r="M56" s="4"/>
      <c r="N56" s="4"/>
      <c r="R56" s="6"/>
      <c r="S56" s="6"/>
      <c r="T56" s="6"/>
      <c r="U56" s="6"/>
      <c r="V56" s="4"/>
      <c r="W56" s="4"/>
      <c r="X56" s="4"/>
      <c r="AA56" s="9" t="e">
        <f t="shared" si="23"/>
        <v>#DIV/0!</v>
      </c>
      <c r="AB56" s="9" t="e">
        <f t="shared" si="24"/>
        <v>#DIV/0!</v>
      </c>
      <c r="AE56" s="7" t="e">
        <f t="shared" si="5"/>
        <v>#DIV/0!</v>
      </c>
      <c r="AF56" s="7" t="e">
        <f t="shared" si="6"/>
        <v>#DIV/0!</v>
      </c>
      <c r="AG56" s="7">
        <f t="shared" si="25"/>
        <v>0</v>
      </c>
      <c r="AH56" s="7">
        <f t="shared" si="26"/>
        <v>0</v>
      </c>
      <c r="AI56" s="7" t="e">
        <f t="shared" si="7"/>
        <v>#DIV/0!</v>
      </c>
      <c r="AJ56" s="7" t="e">
        <f t="shared" si="8"/>
        <v>#DIV/0!</v>
      </c>
      <c r="AK56" s="7" t="e">
        <f t="shared" si="9"/>
        <v>#DIV/0!</v>
      </c>
      <c r="AL56" s="7" t="e">
        <f t="shared" si="10"/>
        <v>#DIV/0!</v>
      </c>
    </row>
    <row r="57" spans="1:38" s="3" customFormat="1" ht="17" customHeight="1" x14ac:dyDescent="0.2">
      <c r="A57" s="5">
        <f t="shared" si="11"/>
        <v>51</v>
      </c>
      <c r="B57" s="5"/>
      <c r="C57" s="5"/>
      <c r="E57" s="4"/>
      <c r="F57" s="4"/>
      <c r="G57" s="4" t="str">
        <f t="shared" si="4"/>
        <v>_</v>
      </c>
      <c r="H57" s="4"/>
      <c r="K57" s="4"/>
      <c r="L57" s="4"/>
      <c r="M57" s="4"/>
      <c r="N57" s="4"/>
      <c r="R57" s="6"/>
      <c r="S57" s="6"/>
      <c r="T57" s="6"/>
      <c r="U57" s="6"/>
      <c r="V57" s="4"/>
      <c r="W57" s="4"/>
      <c r="X57" s="4"/>
      <c r="AA57" s="9" t="e">
        <f t="shared" si="23"/>
        <v>#DIV/0!</v>
      </c>
      <c r="AB57" s="9" t="e">
        <f t="shared" si="24"/>
        <v>#DIV/0!</v>
      </c>
      <c r="AE57" s="7" t="e">
        <f t="shared" si="5"/>
        <v>#DIV/0!</v>
      </c>
      <c r="AF57" s="7" t="e">
        <f t="shared" si="6"/>
        <v>#DIV/0!</v>
      </c>
      <c r="AG57" s="7">
        <f t="shared" si="25"/>
        <v>0</v>
      </c>
      <c r="AH57" s="7">
        <f t="shared" si="26"/>
        <v>0</v>
      </c>
      <c r="AI57" s="7" t="e">
        <f t="shared" si="7"/>
        <v>#DIV/0!</v>
      </c>
      <c r="AJ57" s="7" t="e">
        <f t="shared" si="8"/>
        <v>#DIV/0!</v>
      </c>
      <c r="AK57" s="7" t="e">
        <f t="shared" si="9"/>
        <v>#DIV/0!</v>
      </c>
      <c r="AL57" s="7" t="e">
        <f t="shared" si="10"/>
        <v>#DIV/0!</v>
      </c>
    </row>
    <row r="58" spans="1:38" s="3" customFormat="1" ht="17" customHeight="1" x14ac:dyDescent="0.2">
      <c r="A58" s="5">
        <f t="shared" si="11"/>
        <v>52</v>
      </c>
      <c r="B58" s="5"/>
      <c r="C58" s="5"/>
      <c r="E58" s="4"/>
      <c r="F58" s="4"/>
      <c r="G58" s="4" t="str">
        <f t="shared" si="4"/>
        <v>_</v>
      </c>
      <c r="H58" s="4"/>
      <c r="K58" s="4"/>
      <c r="L58" s="4"/>
      <c r="M58" s="4"/>
      <c r="N58" s="4"/>
      <c r="R58" s="6"/>
      <c r="S58" s="6"/>
      <c r="T58" s="6"/>
      <c r="U58" s="6"/>
      <c r="V58" s="4"/>
      <c r="W58" s="4"/>
      <c r="X58" s="4"/>
      <c r="AA58" s="9" t="e">
        <f t="shared" si="23"/>
        <v>#DIV/0!</v>
      </c>
      <c r="AB58" s="9" t="e">
        <f t="shared" si="24"/>
        <v>#DIV/0!</v>
      </c>
      <c r="AE58" s="7" t="e">
        <f t="shared" si="5"/>
        <v>#DIV/0!</v>
      </c>
      <c r="AF58" s="7" t="e">
        <f t="shared" si="6"/>
        <v>#DIV/0!</v>
      </c>
      <c r="AG58" s="7">
        <f t="shared" si="25"/>
        <v>0</v>
      </c>
      <c r="AH58" s="7">
        <f t="shared" si="26"/>
        <v>0</v>
      </c>
      <c r="AI58" s="7" t="e">
        <f t="shared" si="7"/>
        <v>#DIV/0!</v>
      </c>
      <c r="AJ58" s="7" t="e">
        <f t="shared" si="8"/>
        <v>#DIV/0!</v>
      </c>
      <c r="AK58" s="7" t="e">
        <f t="shared" si="9"/>
        <v>#DIV/0!</v>
      </c>
      <c r="AL58" s="7" t="e">
        <f t="shared" si="10"/>
        <v>#DIV/0!</v>
      </c>
    </row>
    <row r="59" spans="1:38" s="3" customFormat="1" ht="17" customHeight="1" x14ac:dyDescent="0.2">
      <c r="A59" s="5">
        <f t="shared" si="11"/>
        <v>53</v>
      </c>
      <c r="B59" s="5"/>
      <c r="C59" s="5"/>
      <c r="E59" s="4"/>
      <c r="F59" s="4"/>
      <c r="G59" s="4" t="str">
        <f t="shared" si="4"/>
        <v>_</v>
      </c>
      <c r="H59" s="4"/>
      <c r="K59" s="4"/>
      <c r="L59" s="4"/>
      <c r="M59" s="4"/>
      <c r="N59" s="4"/>
      <c r="R59" s="6"/>
      <c r="S59" s="6"/>
      <c r="T59" s="6"/>
      <c r="U59" s="6"/>
      <c r="V59" s="4"/>
      <c r="W59" s="4"/>
      <c r="X59" s="4"/>
      <c r="AA59" s="9" t="e">
        <f t="shared" si="23"/>
        <v>#DIV/0!</v>
      </c>
      <c r="AB59" s="9" t="e">
        <f t="shared" si="24"/>
        <v>#DIV/0!</v>
      </c>
      <c r="AE59" s="7" t="e">
        <f t="shared" si="5"/>
        <v>#DIV/0!</v>
      </c>
      <c r="AF59" s="7" t="e">
        <f t="shared" si="6"/>
        <v>#DIV/0!</v>
      </c>
      <c r="AG59" s="7">
        <f t="shared" si="25"/>
        <v>0</v>
      </c>
      <c r="AH59" s="7">
        <f t="shared" si="26"/>
        <v>0</v>
      </c>
      <c r="AI59" s="7" t="e">
        <f t="shared" si="7"/>
        <v>#DIV/0!</v>
      </c>
      <c r="AJ59" s="7" t="e">
        <f t="shared" si="8"/>
        <v>#DIV/0!</v>
      </c>
      <c r="AK59" s="7" t="e">
        <f t="shared" si="9"/>
        <v>#DIV/0!</v>
      </c>
      <c r="AL59" s="7" t="e">
        <f t="shared" si="10"/>
        <v>#DIV/0!</v>
      </c>
    </row>
    <row r="60" spans="1:38" s="3" customFormat="1" ht="17" customHeight="1" x14ac:dyDescent="0.2">
      <c r="A60" s="5">
        <f t="shared" si="11"/>
        <v>54</v>
      </c>
      <c r="B60" s="5"/>
      <c r="C60" s="5"/>
      <c r="E60" s="4"/>
      <c r="F60" s="4"/>
      <c r="G60" s="4" t="str">
        <f t="shared" si="4"/>
        <v>_</v>
      </c>
      <c r="H60" s="4"/>
      <c r="K60" s="4"/>
      <c r="L60" s="4"/>
      <c r="M60" s="4"/>
      <c r="N60" s="4"/>
      <c r="R60" s="6"/>
      <c r="S60" s="6"/>
      <c r="T60" s="6"/>
      <c r="U60" s="6"/>
      <c r="V60" s="4"/>
      <c r="W60" s="4"/>
      <c r="X60" s="4"/>
      <c r="AA60" s="9" t="e">
        <f t="shared" si="23"/>
        <v>#DIV/0!</v>
      </c>
      <c r="AB60" s="9" t="e">
        <f t="shared" si="24"/>
        <v>#DIV/0!</v>
      </c>
      <c r="AE60" s="7" t="e">
        <f t="shared" si="5"/>
        <v>#DIV/0!</v>
      </c>
      <c r="AF60" s="7" t="e">
        <f t="shared" si="6"/>
        <v>#DIV/0!</v>
      </c>
      <c r="AG60" s="7">
        <f t="shared" si="25"/>
        <v>0</v>
      </c>
      <c r="AH60" s="7">
        <f t="shared" si="26"/>
        <v>0</v>
      </c>
      <c r="AI60" s="7" t="e">
        <f t="shared" si="7"/>
        <v>#DIV/0!</v>
      </c>
      <c r="AJ60" s="7" t="e">
        <f t="shared" si="8"/>
        <v>#DIV/0!</v>
      </c>
      <c r="AK60" s="7" t="e">
        <f t="shared" si="9"/>
        <v>#DIV/0!</v>
      </c>
      <c r="AL60" s="7" t="e">
        <f t="shared" si="10"/>
        <v>#DIV/0!</v>
      </c>
    </row>
    <row r="61" spans="1:38" s="3" customFormat="1" ht="17" customHeight="1" x14ac:dyDescent="0.2">
      <c r="A61" s="5">
        <f t="shared" si="11"/>
        <v>55</v>
      </c>
      <c r="B61" s="5"/>
      <c r="C61" s="5"/>
      <c r="E61" s="4"/>
      <c r="F61" s="4"/>
      <c r="G61" s="4" t="str">
        <f t="shared" si="4"/>
        <v>_</v>
      </c>
      <c r="H61" s="4"/>
      <c r="K61" s="4"/>
      <c r="L61" s="4"/>
      <c r="M61" s="4"/>
      <c r="N61" s="4"/>
      <c r="R61" s="6"/>
      <c r="S61" s="6"/>
      <c r="T61" s="6"/>
      <c r="U61" s="6"/>
      <c r="V61" s="4"/>
      <c r="W61" s="4"/>
      <c r="X61" s="4"/>
      <c r="AA61" s="9" t="e">
        <f t="shared" si="23"/>
        <v>#DIV/0!</v>
      </c>
      <c r="AB61" s="9" t="e">
        <f t="shared" si="24"/>
        <v>#DIV/0!</v>
      </c>
      <c r="AE61" s="7" t="e">
        <f t="shared" si="5"/>
        <v>#DIV/0!</v>
      </c>
      <c r="AF61" s="7" t="e">
        <f t="shared" si="6"/>
        <v>#DIV/0!</v>
      </c>
      <c r="AG61" s="7">
        <f t="shared" si="25"/>
        <v>0</v>
      </c>
      <c r="AH61" s="7">
        <f t="shared" si="26"/>
        <v>0</v>
      </c>
      <c r="AI61" s="7" t="e">
        <f t="shared" si="7"/>
        <v>#DIV/0!</v>
      </c>
      <c r="AJ61" s="7" t="e">
        <f t="shared" si="8"/>
        <v>#DIV/0!</v>
      </c>
      <c r="AK61" s="7" t="e">
        <f t="shared" si="9"/>
        <v>#DIV/0!</v>
      </c>
      <c r="AL61" s="7" t="e">
        <f t="shared" si="10"/>
        <v>#DIV/0!</v>
      </c>
    </row>
    <row r="62" spans="1:38" s="3" customFormat="1" ht="17" customHeight="1" x14ac:dyDescent="0.2">
      <c r="A62" s="5">
        <f t="shared" si="11"/>
        <v>56</v>
      </c>
      <c r="B62" s="5"/>
      <c r="C62" s="5"/>
      <c r="E62" s="4"/>
      <c r="F62" s="4"/>
      <c r="G62" s="4" t="str">
        <f t="shared" si="4"/>
        <v>_</v>
      </c>
      <c r="H62" s="4"/>
      <c r="K62" s="4"/>
      <c r="L62" s="4"/>
      <c r="M62" s="4"/>
      <c r="N62" s="4"/>
      <c r="R62" s="6"/>
      <c r="S62" s="6"/>
      <c r="T62" s="6"/>
      <c r="U62" s="6"/>
      <c r="V62" s="4"/>
      <c r="W62" s="4"/>
      <c r="X62" s="4"/>
      <c r="AA62" s="9" t="e">
        <f t="shared" si="23"/>
        <v>#DIV/0!</v>
      </c>
      <c r="AB62" s="9" t="e">
        <f t="shared" si="24"/>
        <v>#DIV/0!</v>
      </c>
      <c r="AE62" s="7" t="e">
        <f t="shared" si="5"/>
        <v>#DIV/0!</v>
      </c>
      <c r="AF62" s="7" t="e">
        <f t="shared" si="6"/>
        <v>#DIV/0!</v>
      </c>
      <c r="AG62" s="7">
        <f t="shared" si="25"/>
        <v>0</v>
      </c>
      <c r="AH62" s="7">
        <f t="shared" si="26"/>
        <v>0</v>
      </c>
      <c r="AI62" s="7" t="e">
        <f t="shared" si="7"/>
        <v>#DIV/0!</v>
      </c>
      <c r="AJ62" s="7" t="e">
        <f t="shared" si="8"/>
        <v>#DIV/0!</v>
      </c>
      <c r="AK62" s="7" t="e">
        <f t="shared" si="9"/>
        <v>#DIV/0!</v>
      </c>
      <c r="AL62" s="7" t="e">
        <f t="shared" si="10"/>
        <v>#DIV/0!</v>
      </c>
    </row>
    <row r="63" spans="1:38" s="3" customFormat="1" ht="17" customHeight="1" x14ac:dyDescent="0.2">
      <c r="A63" s="5">
        <f t="shared" si="11"/>
        <v>57</v>
      </c>
      <c r="B63" s="5"/>
      <c r="C63" s="5"/>
      <c r="E63" s="4"/>
      <c r="F63" s="4"/>
      <c r="G63" s="4" t="str">
        <f t="shared" si="4"/>
        <v>_</v>
      </c>
      <c r="H63" s="4"/>
      <c r="K63" s="4"/>
      <c r="L63" s="4"/>
      <c r="M63" s="4"/>
      <c r="N63" s="4"/>
      <c r="R63" s="6"/>
      <c r="S63" s="6"/>
      <c r="T63" s="6"/>
      <c r="U63" s="6"/>
      <c r="V63" s="4"/>
      <c r="W63" s="4"/>
      <c r="X63" s="4"/>
      <c r="AA63" s="9" t="e">
        <f t="shared" si="23"/>
        <v>#DIV/0!</v>
      </c>
      <c r="AB63" s="9" t="e">
        <f t="shared" si="24"/>
        <v>#DIV/0!</v>
      </c>
      <c r="AE63" s="7" t="e">
        <f t="shared" si="5"/>
        <v>#DIV/0!</v>
      </c>
      <c r="AF63" s="7" t="e">
        <f t="shared" si="6"/>
        <v>#DIV/0!</v>
      </c>
      <c r="AG63" s="7">
        <f t="shared" si="25"/>
        <v>0</v>
      </c>
      <c r="AH63" s="7">
        <f t="shared" si="26"/>
        <v>0</v>
      </c>
      <c r="AI63" s="7" t="e">
        <f t="shared" si="7"/>
        <v>#DIV/0!</v>
      </c>
      <c r="AJ63" s="7" t="e">
        <f t="shared" si="8"/>
        <v>#DIV/0!</v>
      </c>
      <c r="AK63" s="7" t="e">
        <f t="shared" si="9"/>
        <v>#DIV/0!</v>
      </c>
      <c r="AL63" s="7" t="e">
        <f t="shared" si="10"/>
        <v>#DIV/0!</v>
      </c>
    </row>
    <row r="64" spans="1:38" s="3" customFormat="1" ht="17" customHeight="1" x14ac:dyDescent="0.2">
      <c r="A64" s="5">
        <f t="shared" si="11"/>
        <v>58</v>
      </c>
      <c r="B64" s="5"/>
      <c r="C64" s="5"/>
      <c r="E64" s="4"/>
      <c r="F64" s="4"/>
      <c r="G64" s="4" t="str">
        <f t="shared" si="4"/>
        <v>_</v>
      </c>
      <c r="H64" s="4"/>
      <c r="K64" s="4"/>
      <c r="L64" s="4"/>
      <c r="M64" s="4"/>
      <c r="N64" s="4"/>
      <c r="R64" s="6"/>
      <c r="S64" s="6"/>
      <c r="T64" s="6"/>
      <c r="U64" s="6"/>
      <c r="V64" s="4"/>
      <c r="W64" s="4"/>
      <c r="X64" s="4"/>
      <c r="AA64" s="9" t="e">
        <f t="shared" si="23"/>
        <v>#DIV/0!</v>
      </c>
      <c r="AB64" s="9" t="e">
        <f t="shared" si="24"/>
        <v>#DIV/0!</v>
      </c>
      <c r="AE64" s="7" t="e">
        <f t="shared" si="5"/>
        <v>#DIV/0!</v>
      </c>
      <c r="AF64" s="7" t="e">
        <f t="shared" si="6"/>
        <v>#DIV/0!</v>
      </c>
      <c r="AG64" s="7">
        <f t="shared" si="25"/>
        <v>0</v>
      </c>
      <c r="AH64" s="7">
        <f t="shared" si="26"/>
        <v>0</v>
      </c>
      <c r="AI64" s="7" t="e">
        <f t="shared" si="7"/>
        <v>#DIV/0!</v>
      </c>
      <c r="AJ64" s="7" t="e">
        <f t="shared" si="8"/>
        <v>#DIV/0!</v>
      </c>
      <c r="AK64" s="7" t="e">
        <f t="shared" si="9"/>
        <v>#DIV/0!</v>
      </c>
      <c r="AL64" s="7" t="e">
        <f t="shared" si="10"/>
        <v>#DIV/0!</v>
      </c>
    </row>
    <row r="65" spans="1:38" s="3" customFormat="1" ht="17" customHeight="1" x14ac:dyDescent="0.2">
      <c r="A65" s="5">
        <f t="shared" si="11"/>
        <v>59</v>
      </c>
      <c r="B65" s="5"/>
      <c r="C65" s="5"/>
      <c r="E65" s="4"/>
      <c r="F65" s="4"/>
      <c r="G65" s="4" t="str">
        <f t="shared" si="4"/>
        <v>_</v>
      </c>
      <c r="H65" s="4"/>
      <c r="K65" s="4"/>
      <c r="L65" s="4"/>
      <c r="M65" s="4"/>
      <c r="N65" s="4"/>
      <c r="R65" s="6"/>
      <c r="S65" s="6"/>
      <c r="T65" s="6"/>
      <c r="U65" s="6"/>
      <c r="V65" s="4"/>
      <c r="W65" s="4"/>
      <c r="X65" s="4"/>
      <c r="AA65" s="9" t="e">
        <f t="shared" si="23"/>
        <v>#DIV/0!</v>
      </c>
      <c r="AB65" s="9" t="e">
        <f t="shared" si="24"/>
        <v>#DIV/0!</v>
      </c>
      <c r="AE65" s="7" t="e">
        <f t="shared" si="5"/>
        <v>#DIV/0!</v>
      </c>
      <c r="AF65" s="7" t="e">
        <f t="shared" si="6"/>
        <v>#DIV/0!</v>
      </c>
      <c r="AG65" s="7">
        <f t="shared" si="25"/>
        <v>0</v>
      </c>
      <c r="AH65" s="7">
        <f t="shared" si="26"/>
        <v>0</v>
      </c>
      <c r="AI65" s="7" t="e">
        <f t="shared" si="7"/>
        <v>#DIV/0!</v>
      </c>
      <c r="AJ65" s="7" t="e">
        <f t="shared" si="8"/>
        <v>#DIV/0!</v>
      </c>
      <c r="AK65" s="7" t="e">
        <f t="shared" si="9"/>
        <v>#DIV/0!</v>
      </c>
      <c r="AL65" s="7" t="e">
        <f t="shared" si="10"/>
        <v>#DIV/0!</v>
      </c>
    </row>
    <row r="66" spans="1:38" s="3" customFormat="1" ht="17" customHeight="1" x14ac:dyDescent="0.2">
      <c r="A66" s="5">
        <f t="shared" si="11"/>
        <v>60</v>
      </c>
      <c r="B66" s="5"/>
      <c r="C66" s="5"/>
      <c r="E66" s="4"/>
      <c r="F66" s="4"/>
      <c r="G66" s="4" t="str">
        <f t="shared" si="4"/>
        <v>_</v>
      </c>
      <c r="H66" s="4"/>
      <c r="K66" s="4"/>
      <c r="L66" s="4"/>
      <c r="M66" s="4"/>
      <c r="N66" s="4"/>
      <c r="R66" s="6"/>
      <c r="S66" s="6"/>
      <c r="T66" s="6"/>
      <c r="U66" s="6"/>
      <c r="V66" s="4"/>
      <c r="W66" s="4"/>
      <c r="X66" s="4"/>
      <c r="AA66" s="9" t="e">
        <f t="shared" si="23"/>
        <v>#DIV/0!</v>
      </c>
      <c r="AB66" s="9" t="e">
        <f t="shared" si="24"/>
        <v>#DIV/0!</v>
      </c>
      <c r="AE66" s="7" t="e">
        <f t="shared" si="5"/>
        <v>#DIV/0!</v>
      </c>
      <c r="AF66" s="7" t="e">
        <f t="shared" si="6"/>
        <v>#DIV/0!</v>
      </c>
      <c r="AG66" s="7">
        <f t="shared" si="25"/>
        <v>0</v>
      </c>
      <c r="AH66" s="7">
        <f t="shared" si="26"/>
        <v>0</v>
      </c>
      <c r="AI66" s="7" t="e">
        <f t="shared" si="7"/>
        <v>#DIV/0!</v>
      </c>
      <c r="AJ66" s="7" t="e">
        <f t="shared" si="8"/>
        <v>#DIV/0!</v>
      </c>
      <c r="AK66" s="7" t="e">
        <f t="shared" si="9"/>
        <v>#DIV/0!</v>
      </c>
      <c r="AL66" s="7" t="e">
        <f t="shared" si="10"/>
        <v>#DIV/0!</v>
      </c>
    </row>
    <row r="67" spans="1:38" s="3" customFormat="1" ht="17" customHeight="1" x14ac:dyDescent="0.2">
      <c r="A67" s="5">
        <f t="shared" si="11"/>
        <v>61</v>
      </c>
      <c r="B67" s="5"/>
      <c r="C67" s="5"/>
      <c r="E67" s="4"/>
      <c r="F67" s="4"/>
      <c r="G67" s="4" t="str">
        <f t="shared" si="4"/>
        <v>_</v>
      </c>
      <c r="H67" s="4"/>
      <c r="K67" s="4"/>
      <c r="L67" s="4"/>
      <c r="M67" s="4"/>
      <c r="N67" s="4"/>
      <c r="R67" s="6"/>
      <c r="S67" s="6"/>
      <c r="T67" s="6"/>
      <c r="U67" s="6"/>
      <c r="V67" s="4"/>
      <c r="W67" s="4"/>
      <c r="X67" s="4"/>
      <c r="AA67" s="9" t="e">
        <f t="shared" si="23"/>
        <v>#DIV/0!</v>
      </c>
      <c r="AB67" s="9" t="e">
        <f t="shared" si="24"/>
        <v>#DIV/0!</v>
      </c>
      <c r="AE67" s="7" t="e">
        <f t="shared" si="5"/>
        <v>#DIV/0!</v>
      </c>
      <c r="AF67" s="7" t="e">
        <f t="shared" si="6"/>
        <v>#DIV/0!</v>
      </c>
      <c r="AG67" s="7">
        <f t="shared" si="25"/>
        <v>0</v>
      </c>
      <c r="AH67" s="7">
        <f t="shared" si="26"/>
        <v>0</v>
      </c>
      <c r="AI67" s="7" t="e">
        <f t="shared" si="7"/>
        <v>#DIV/0!</v>
      </c>
      <c r="AJ67" s="7" t="e">
        <f t="shared" si="8"/>
        <v>#DIV/0!</v>
      </c>
      <c r="AK67" s="7" t="e">
        <f t="shared" si="9"/>
        <v>#DIV/0!</v>
      </c>
      <c r="AL67" s="7" t="e">
        <f t="shared" si="10"/>
        <v>#DIV/0!</v>
      </c>
    </row>
    <row r="68" spans="1:38" s="3" customFormat="1" ht="17" customHeight="1" x14ac:dyDescent="0.2">
      <c r="A68" s="5">
        <f t="shared" si="11"/>
        <v>62</v>
      </c>
      <c r="B68" s="5"/>
      <c r="C68" s="5"/>
      <c r="E68" s="4"/>
      <c r="F68" s="4"/>
      <c r="G68" s="4" t="str">
        <f t="shared" si="4"/>
        <v>_</v>
      </c>
      <c r="H68" s="4"/>
      <c r="K68" s="4"/>
      <c r="L68" s="4"/>
      <c r="M68" s="4"/>
      <c r="N68" s="4"/>
      <c r="R68" s="6"/>
      <c r="S68" s="6"/>
      <c r="T68" s="6"/>
      <c r="U68" s="6"/>
      <c r="V68" s="4"/>
      <c r="W68" s="4"/>
      <c r="X68" s="4"/>
      <c r="AA68" s="9" t="e">
        <f t="shared" ref="AA68:AA99" si="27">(1/1.249)*AI68+(1-(1/1.249))*AJ68</f>
        <v>#DIV/0!</v>
      </c>
      <c r="AB68" s="9" t="e">
        <f t="shared" ref="AB68:AB99" si="28">(1/1.249)*AK68+(1-(1/1.249))*AL68</f>
        <v>#DIV/0!</v>
      </c>
      <c r="AE68" s="7" t="e">
        <f t="shared" si="5"/>
        <v>#DIV/0!</v>
      </c>
      <c r="AF68" s="7" t="e">
        <f t="shared" si="6"/>
        <v>#DIV/0!</v>
      </c>
      <c r="AG68" s="7">
        <f t="shared" ref="AG68:AG99" si="29">(R68+T68)/2</f>
        <v>0</v>
      </c>
      <c r="AH68" s="7">
        <f t="shared" ref="AH68:AH99" si="30">(S68+U68)/4</f>
        <v>0</v>
      </c>
      <c r="AI68" s="7" t="e">
        <f t="shared" si="7"/>
        <v>#DIV/0!</v>
      </c>
      <c r="AJ68" s="7" t="e">
        <f t="shared" si="8"/>
        <v>#DIV/0!</v>
      </c>
      <c r="AK68" s="7" t="e">
        <f t="shared" si="9"/>
        <v>#DIV/0!</v>
      </c>
      <c r="AL68" s="7" t="e">
        <f t="shared" si="10"/>
        <v>#DIV/0!</v>
      </c>
    </row>
    <row r="69" spans="1:38" s="3" customFormat="1" ht="17" customHeight="1" x14ac:dyDescent="0.2">
      <c r="A69" s="5">
        <f t="shared" si="11"/>
        <v>63</v>
      </c>
      <c r="B69" s="5"/>
      <c r="C69" s="5"/>
      <c r="E69" s="4"/>
      <c r="F69" s="4"/>
      <c r="G69" s="4" t="str">
        <f t="shared" ref="G69:G132" si="31">CONCATENATE(E69,"_",F69)</f>
        <v>_</v>
      </c>
      <c r="H69" s="4"/>
      <c r="K69" s="4"/>
      <c r="L69" s="4"/>
      <c r="M69" s="4"/>
      <c r="N69" s="4"/>
      <c r="R69" s="6"/>
      <c r="S69" s="6"/>
      <c r="T69" s="6"/>
      <c r="U69" s="6"/>
      <c r="V69" s="4"/>
      <c r="W69" s="4"/>
      <c r="X69" s="4"/>
      <c r="AA69" s="9" t="e">
        <f t="shared" si="27"/>
        <v>#DIV/0!</v>
      </c>
      <c r="AB69" s="9" t="e">
        <f t="shared" si="28"/>
        <v>#DIV/0!</v>
      </c>
      <c r="AE69" s="7" t="e">
        <f t="shared" si="5"/>
        <v>#DIV/0!</v>
      </c>
      <c r="AF69" s="7" t="e">
        <f t="shared" si="6"/>
        <v>#DIV/0!</v>
      </c>
      <c r="AG69" s="7">
        <f t="shared" si="29"/>
        <v>0</v>
      </c>
      <c r="AH69" s="7">
        <f t="shared" si="30"/>
        <v>0</v>
      </c>
      <c r="AI69" s="7" t="e">
        <f t="shared" si="7"/>
        <v>#DIV/0!</v>
      </c>
      <c r="AJ69" s="7" t="e">
        <f t="shared" si="8"/>
        <v>#DIV/0!</v>
      </c>
      <c r="AK69" s="7" t="e">
        <f t="shared" si="9"/>
        <v>#DIV/0!</v>
      </c>
      <c r="AL69" s="7" t="e">
        <f t="shared" si="10"/>
        <v>#DIV/0!</v>
      </c>
    </row>
    <row r="70" spans="1:38" s="3" customFormat="1" ht="17" customHeight="1" x14ac:dyDescent="0.2">
      <c r="A70" s="5">
        <f t="shared" ref="A70:A133" si="32">A69+1</f>
        <v>64</v>
      </c>
      <c r="B70" s="5"/>
      <c r="C70" s="5"/>
      <c r="E70" s="4"/>
      <c r="F70" s="4"/>
      <c r="G70" s="4" t="str">
        <f t="shared" si="31"/>
        <v>_</v>
      </c>
      <c r="H70" s="4"/>
      <c r="K70" s="4"/>
      <c r="L70" s="4"/>
      <c r="M70" s="4"/>
      <c r="N70" s="4"/>
      <c r="R70" s="6"/>
      <c r="S70" s="6"/>
      <c r="T70" s="6"/>
      <c r="U70" s="6"/>
      <c r="V70" s="4"/>
      <c r="W70" s="4"/>
      <c r="X70" s="4"/>
      <c r="AA70" s="9" t="e">
        <f t="shared" si="27"/>
        <v>#DIV/0!</v>
      </c>
      <c r="AB70" s="9" t="e">
        <f t="shared" si="28"/>
        <v>#DIV/0!</v>
      </c>
      <c r="AE70" s="7" t="e">
        <f t="shared" ref="AE70:AE133" si="33">(2.31*AG70+2*AH70)/(AH70*AG70)</f>
        <v>#DIV/0!</v>
      </c>
      <c r="AF70" s="7" t="e">
        <f t="shared" ref="AF70:AF133" si="34">(4*AG70+4+AH70)/(AG70*2*AH70)</f>
        <v>#DIV/0!</v>
      </c>
      <c r="AG70" s="7">
        <f t="shared" si="29"/>
        <v>0</v>
      </c>
      <c r="AH70" s="7">
        <f t="shared" si="30"/>
        <v>0</v>
      </c>
      <c r="AI70" s="7" t="e">
        <f t="shared" ref="AI70:AI133" si="35">1+(-5.13)*AE70+(6.79)*AE70^2</f>
        <v>#DIV/0!</v>
      </c>
      <c r="AJ70" s="7" t="e">
        <f t="shared" ref="AJ70:AJ133" si="36">1+(-5.9)*AE70+8.99*AE70^2</f>
        <v>#DIV/0!</v>
      </c>
      <c r="AK70" s="7" t="e">
        <f t="shared" ref="AK70:AK133" si="37">1+(-4.31)*AF70+4.92*AF70^2</f>
        <v>#DIV/0!</v>
      </c>
      <c r="AL70" s="7" t="e">
        <f t="shared" ref="AL70:AL133" si="38">1+(-5)*AF70+6.8*AF70^2</f>
        <v>#DIV/0!</v>
      </c>
    </row>
    <row r="71" spans="1:38" s="3" customFormat="1" ht="17" customHeight="1" x14ac:dyDescent="0.2">
      <c r="A71" s="5">
        <f t="shared" si="32"/>
        <v>65</v>
      </c>
      <c r="B71" s="5"/>
      <c r="C71" s="5"/>
      <c r="E71" s="4"/>
      <c r="F71" s="4"/>
      <c r="G71" s="4" t="str">
        <f t="shared" si="31"/>
        <v>_</v>
      </c>
      <c r="H71" s="4"/>
      <c r="K71" s="4"/>
      <c r="L71" s="4"/>
      <c r="M71" s="4"/>
      <c r="N71" s="4"/>
      <c r="R71" s="6"/>
      <c r="S71" s="6"/>
      <c r="T71" s="6"/>
      <c r="U71" s="6"/>
      <c r="V71" s="4"/>
      <c r="W71" s="4"/>
      <c r="X71" s="4"/>
      <c r="AA71" s="9" t="e">
        <f t="shared" si="27"/>
        <v>#DIV/0!</v>
      </c>
      <c r="AB71" s="9" t="e">
        <f t="shared" si="28"/>
        <v>#DIV/0!</v>
      </c>
      <c r="AE71" s="7" t="e">
        <f t="shared" si="33"/>
        <v>#DIV/0!</v>
      </c>
      <c r="AF71" s="7" t="e">
        <f t="shared" si="34"/>
        <v>#DIV/0!</v>
      </c>
      <c r="AG71" s="7">
        <f t="shared" si="29"/>
        <v>0</v>
      </c>
      <c r="AH71" s="7">
        <f t="shared" si="30"/>
        <v>0</v>
      </c>
      <c r="AI71" s="7" t="e">
        <f t="shared" si="35"/>
        <v>#DIV/0!</v>
      </c>
      <c r="AJ71" s="7" t="e">
        <f t="shared" si="36"/>
        <v>#DIV/0!</v>
      </c>
      <c r="AK71" s="7" t="e">
        <f t="shared" si="37"/>
        <v>#DIV/0!</v>
      </c>
      <c r="AL71" s="7" t="e">
        <f t="shared" si="38"/>
        <v>#DIV/0!</v>
      </c>
    </row>
    <row r="72" spans="1:38" s="3" customFormat="1" ht="17" customHeight="1" x14ac:dyDescent="0.2">
      <c r="A72" s="5">
        <f t="shared" si="32"/>
        <v>66</v>
      </c>
      <c r="B72" s="5"/>
      <c r="C72" s="5"/>
      <c r="E72" s="4"/>
      <c r="F72" s="4"/>
      <c r="G72" s="4" t="str">
        <f t="shared" si="31"/>
        <v>_</v>
      </c>
      <c r="H72" s="4"/>
      <c r="K72" s="4"/>
      <c r="L72" s="4"/>
      <c r="M72" s="4"/>
      <c r="N72" s="4"/>
      <c r="R72" s="6"/>
      <c r="S72" s="6"/>
      <c r="T72" s="6"/>
      <c r="U72" s="6"/>
      <c r="V72" s="4"/>
      <c r="W72" s="4"/>
      <c r="X72" s="4"/>
      <c r="AA72" s="9" t="e">
        <f t="shared" si="27"/>
        <v>#DIV/0!</v>
      </c>
      <c r="AB72" s="9" t="e">
        <f t="shared" si="28"/>
        <v>#DIV/0!</v>
      </c>
      <c r="AE72" s="7" t="e">
        <f t="shared" si="33"/>
        <v>#DIV/0!</v>
      </c>
      <c r="AF72" s="7" t="e">
        <f t="shared" si="34"/>
        <v>#DIV/0!</v>
      </c>
      <c r="AG72" s="7">
        <f t="shared" si="29"/>
        <v>0</v>
      </c>
      <c r="AH72" s="7">
        <f t="shared" si="30"/>
        <v>0</v>
      </c>
      <c r="AI72" s="7" t="e">
        <f t="shared" si="35"/>
        <v>#DIV/0!</v>
      </c>
      <c r="AJ72" s="7" t="e">
        <f t="shared" si="36"/>
        <v>#DIV/0!</v>
      </c>
      <c r="AK72" s="7" t="e">
        <f t="shared" si="37"/>
        <v>#DIV/0!</v>
      </c>
      <c r="AL72" s="7" t="e">
        <f t="shared" si="38"/>
        <v>#DIV/0!</v>
      </c>
    </row>
    <row r="73" spans="1:38" s="3" customFormat="1" ht="17" customHeight="1" x14ac:dyDescent="0.2">
      <c r="A73" s="5">
        <f t="shared" si="32"/>
        <v>67</v>
      </c>
      <c r="B73" s="5"/>
      <c r="C73" s="5"/>
      <c r="E73" s="4"/>
      <c r="F73" s="4"/>
      <c r="G73" s="4" t="str">
        <f t="shared" si="31"/>
        <v>_</v>
      </c>
      <c r="H73" s="4"/>
      <c r="K73" s="4"/>
      <c r="L73" s="4"/>
      <c r="M73" s="4"/>
      <c r="N73" s="4"/>
      <c r="R73" s="6"/>
      <c r="S73" s="6"/>
      <c r="T73" s="6"/>
      <c r="U73" s="6"/>
      <c r="V73" s="4"/>
      <c r="W73" s="4"/>
      <c r="X73" s="4"/>
      <c r="AA73" s="9" t="e">
        <f t="shared" si="27"/>
        <v>#DIV/0!</v>
      </c>
      <c r="AB73" s="9" t="e">
        <f t="shared" si="28"/>
        <v>#DIV/0!</v>
      </c>
      <c r="AE73" s="7" t="e">
        <f t="shared" si="33"/>
        <v>#DIV/0!</v>
      </c>
      <c r="AF73" s="7" t="e">
        <f t="shared" si="34"/>
        <v>#DIV/0!</v>
      </c>
      <c r="AG73" s="7">
        <f t="shared" si="29"/>
        <v>0</v>
      </c>
      <c r="AH73" s="7">
        <f t="shared" si="30"/>
        <v>0</v>
      </c>
      <c r="AI73" s="7" t="e">
        <f t="shared" si="35"/>
        <v>#DIV/0!</v>
      </c>
      <c r="AJ73" s="7" t="e">
        <f t="shared" si="36"/>
        <v>#DIV/0!</v>
      </c>
      <c r="AK73" s="7" t="e">
        <f t="shared" si="37"/>
        <v>#DIV/0!</v>
      </c>
      <c r="AL73" s="7" t="e">
        <f t="shared" si="38"/>
        <v>#DIV/0!</v>
      </c>
    </row>
    <row r="74" spans="1:38" s="3" customFormat="1" ht="17" customHeight="1" x14ac:dyDescent="0.2">
      <c r="A74" s="5">
        <f t="shared" si="32"/>
        <v>68</v>
      </c>
      <c r="B74" s="5"/>
      <c r="C74" s="5"/>
      <c r="E74" s="4"/>
      <c r="F74" s="4"/>
      <c r="G74" s="4" t="str">
        <f t="shared" si="31"/>
        <v>_</v>
      </c>
      <c r="H74" s="4"/>
      <c r="K74" s="4"/>
      <c r="L74" s="4"/>
      <c r="M74" s="4"/>
      <c r="N74" s="4"/>
      <c r="R74" s="6"/>
      <c r="S74" s="6"/>
      <c r="T74" s="6"/>
      <c r="U74" s="6"/>
      <c r="V74" s="4"/>
      <c r="W74" s="4"/>
      <c r="X74" s="4"/>
      <c r="AA74" s="9" t="e">
        <f t="shared" si="27"/>
        <v>#DIV/0!</v>
      </c>
      <c r="AB74" s="9" t="e">
        <f t="shared" si="28"/>
        <v>#DIV/0!</v>
      </c>
      <c r="AE74" s="7" t="e">
        <f t="shared" si="33"/>
        <v>#DIV/0!</v>
      </c>
      <c r="AF74" s="7" t="e">
        <f t="shared" si="34"/>
        <v>#DIV/0!</v>
      </c>
      <c r="AG74" s="7">
        <f t="shared" si="29"/>
        <v>0</v>
      </c>
      <c r="AH74" s="7">
        <f t="shared" si="30"/>
        <v>0</v>
      </c>
      <c r="AI74" s="7" t="e">
        <f t="shared" si="35"/>
        <v>#DIV/0!</v>
      </c>
      <c r="AJ74" s="7" t="e">
        <f t="shared" si="36"/>
        <v>#DIV/0!</v>
      </c>
      <c r="AK74" s="7" t="e">
        <f t="shared" si="37"/>
        <v>#DIV/0!</v>
      </c>
      <c r="AL74" s="7" t="e">
        <f t="shared" si="38"/>
        <v>#DIV/0!</v>
      </c>
    </row>
    <row r="75" spans="1:38" s="3" customFormat="1" ht="17" customHeight="1" x14ac:dyDescent="0.2">
      <c r="A75" s="5">
        <f t="shared" si="32"/>
        <v>69</v>
      </c>
      <c r="B75" s="5"/>
      <c r="C75" s="5"/>
      <c r="E75" s="4"/>
      <c r="F75" s="4"/>
      <c r="G75" s="4" t="str">
        <f t="shared" si="31"/>
        <v>_</v>
      </c>
      <c r="H75" s="4"/>
      <c r="K75" s="4"/>
      <c r="L75" s="4"/>
      <c r="M75" s="4"/>
      <c r="N75" s="4"/>
      <c r="R75" s="6"/>
      <c r="S75" s="6"/>
      <c r="T75" s="6"/>
      <c r="U75" s="6"/>
      <c r="V75" s="4"/>
      <c r="W75" s="4"/>
      <c r="X75" s="4"/>
      <c r="AA75" s="9" t="e">
        <f t="shared" si="27"/>
        <v>#DIV/0!</v>
      </c>
      <c r="AB75" s="9" t="e">
        <f t="shared" si="28"/>
        <v>#DIV/0!</v>
      </c>
      <c r="AE75" s="7" t="e">
        <f t="shared" si="33"/>
        <v>#DIV/0!</v>
      </c>
      <c r="AF75" s="7" t="e">
        <f t="shared" si="34"/>
        <v>#DIV/0!</v>
      </c>
      <c r="AG75" s="7">
        <f t="shared" si="29"/>
        <v>0</v>
      </c>
      <c r="AH75" s="7">
        <f t="shared" si="30"/>
        <v>0</v>
      </c>
      <c r="AI75" s="7" t="e">
        <f t="shared" si="35"/>
        <v>#DIV/0!</v>
      </c>
      <c r="AJ75" s="7" t="e">
        <f t="shared" si="36"/>
        <v>#DIV/0!</v>
      </c>
      <c r="AK75" s="7" t="e">
        <f t="shared" si="37"/>
        <v>#DIV/0!</v>
      </c>
      <c r="AL75" s="7" t="e">
        <f t="shared" si="38"/>
        <v>#DIV/0!</v>
      </c>
    </row>
    <row r="76" spans="1:38" s="3" customFormat="1" ht="17" customHeight="1" x14ac:dyDescent="0.2">
      <c r="A76" s="5">
        <f t="shared" si="32"/>
        <v>70</v>
      </c>
      <c r="B76" s="5"/>
      <c r="C76" s="5"/>
      <c r="E76" s="4"/>
      <c r="F76" s="4"/>
      <c r="G76" s="4" t="str">
        <f t="shared" si="31"/>
        <v>_</v>
      </c>
      <c r="H76" s="4"/>
      <c r="K76" s="4"/>
      <c r="L76" s="4"/>
      <c r="M76" s="4"/>
      <c r="N76" s="4"/>
      <c r="R76" s="6"/>
      <c r="S76" s="6"/>
      <c r="T76" s="6"/>
      <c r="U76" s="6"/>
      <c r="V76" s="4"/>
      <c r="W76" s="4"/>
      <c r="X76" s="4"/>
      <c r="AA76" s="9" t="e">
        <f t="shared" si="27"/>
        <v>#DIV/0!</v>
      </c>
      <c r="AB76" s="9" t="e">
        <f t="shared" si="28"/>
        <v>#DIV/0!</v>
      </c>
      <c r="AE76" s="7" t="e">
        <f t="shared" si="33"/>
        <v>#DIV/0!</v>
      </c>
      <c r="AF76" s="7" t="e">
        <f t="shared" si="34"/>
        <v>#DIV/0!</v>
      </c>
      <c r="AG76" s="7">
        <f t="shared" si="29"/>
        <v>0</v>
      </c>
      <c r="AH76" s="7">
        <f t="shared" si="30"/>
        <v>0</v>
      </c>
      <c r="AI76" s="7" t="e">
        <f t="shared" si="35"/>
        <v>#DIV/0!</v>
      </c>
      <c r="AJ76" s="7" t="e">
        <f t="shared" si="36"/>
        <v>#DIV/0!</v>
      </c>
      <c r="AK76" s="7" t="e">
        <f t="shared" si="37"/>
        <v>#DIV/0!</v>
      </c>
      <c r="AL76" s="7" t="e">
        <f t="shared" si="38"/>
        <v>#DIV/0!</v>
      </c>
    </row>
    <row r="77" spans="1:38" s="3" customFormat="1" ht="17" customHeight="1" x14ac:dyDescent="0.2">
      <c r="A77" s="5">
        <f t="shared" si="32"/>
        <v>71</v>
      </c>
      <c r="B77" s="5"/>
      <c r="C77" s="5"/>
      <c r="E77" s="4"/>
      <c r="F77" s="4"/>
      <c r="G77" s="4" t="str">
        <f t="shared" si="31"/>
        <v>_</v>
      </c>
      <c r="H77" s="4"/>
      <c r="K77" s="4"/>
      <c r="L77" s="4"/>
      <c r="M77" s="4"/>
      <c r="N77" s="4"/>
      <c r="R77" s="6"/>
      <c r="S77" s="6"/>
      <c r="T77" s="6"/>
      <c r="U77" s="6"/>
      <c r="V77" s="4"/>
      <c r="W77" s="4"/>
      <c r="X77" s="4"/>
      <c r="AA77" s="9" t="e">
        <f t="shared" si="27"/>
        <v>#DIV/0!</v>
      </c>
      <c r="AB77" s="9" t="e">
        <f t="shared" si="28"/>
        <v>#DIV/0!</v>
      </c>
      <c r="AE77" s="7" t="e">
        <f t="shared" si="33"/>
        <v>#DIV/0!</v>
      </c>
      <c r="AF77" s="7" t="e">
        <f t="shared" si="34"/>
        <v>#DIV/0!</v>
      </c>
      <c r="AG77" s="7">
        <f t="shared" si="29"/>
        <v>0</v>
      </c>
      <c r="AH77" s="7">
        <f t="shared" si="30"/>
        <v>0</v>
      </c>
      <c r="AI77" s="7" t="e">
        <f t="shared" si="35"/>
        <v>#DIV/0!</v>
      </c>
      <c r="AJ77" s="7" t="e">
        <f t="shared" si="36"/>
        <v>#DIV/0!</v>
      </c>
      <c r="AK77" s="7" t="e">
        <f t="shared" si="37"/>
        <v>#DIV/0!</v>
      </c>
      <c r="AL77" s="7" t="e">
        <f t="shared" si="38"/>
        <v>#DIV/0!</v>
      </c>
    </row>
    <row r="78" spans="1:38" s="3" customFormat="1" ht="17" customHeight="1" x14ac:dyDescent="0.2">
      <c r="A78" s="5">
        <f t="shared" si="32"/>
        <v>72</v>
      </c>
      <c r="B78" s="5"/>
      <c r="C78" s="5"/>
      <c r="E78" s="4"/>
      <c r="F78" s="4"/>
      <c r="G78" s="4" t="str">
        <f t="shared" si="31"/>
        <v>_</v>
      </c>
      <c r="H78" s="4"/>
      <c r="K78" s="4"/>
      <c r="L78" s="4"/>
      <c r="M78" s="4"/>
      <c r="N78" s="4"/>
      <c r="R78" s="6"/>
      <c r="S78" s="6"/>
      <c r="T78" s="6"/>
      <c r="U78" s="6"/>
      <c r="V78" s="4"/>
      <c r="W78" s="4"/>
      <c r="X78" s="4"/>
      <c r="AA78" s="9" t="e">
        <f t="shared" si="27"/>
        <v>#DIV/0!</v>
      </c>
      <c r="AB78" s="9" t="e">
        <f t="shared" si="28"/>
        <v>#DIV/0!</v>
      </c>
      <c r="AE78" s="7" t="e">
        <f t="shared" si="33"/>
        <v>#DIV/0!</v>
      </c>
      <c r="AF78" s="7" t="e">
        <f t="shared" si="34"/>
        <v>#DIV/0!</v>
      </c>
      <c r="AG78" s="7">
        <f t="shared" si="29"/>
        <v>0</v>
      </c>
      <c r="AH78" s="7">
        <f t="shared" si="30"/>
        <v>0</v>
      </c>
      <c r="AI78" s="7" t="e">
        <f t="shared" si="35"/>
        <v>#DIV/0!</v>
      </c>
      <c r="AJ78" s="7" t="e">
        <f t="shared" si="36"/>
        <v>#DIV/0!</v>
      </c>
      <c r="AK78" s="7" t="e">
        <f t="shared" si="37"/>
        <v>#DIV/0!</v>
      </c>
      <c r="AL78" s="7" t="e">
        <f t="shared" si="38"/>
        <v>#DIV/0!</v>
      </c>
    </row>
    <row r="79" spans="1:38" s="3" customFormat="1" ht="17" customHeight="1" x14ac:dyDescent="0.2">
      <c r="A79" s="5">
        <f t="shared" si="32"/>
        <v>73</v>
      </c>
      <c r="B79" s="5"/>
      <c r="C79" s="5"/>
      <c r="E79" s="4"/>
      <c r="F79" s="4"/>
      <c r="G79" s="4" t="str">
        <f t="shared" si="31"/>
        <v>_</v>
      </c>
      <c r="H79" s="4"/>
      <c r="K79" s="4"/>
      <c r="L79" s="4"/>
      <c r="M79" s="4"/>
      <c r="N79" s="4"/>
      <c r="R79" s="6"/>
      <c r="S79" s="6"/>
      <c r="T79" s="6"/>
      <c r="U79" s="6"/>
      <c r="V79" s="4"/>
      <c r="W79" s="4"/>
      <c r="X79" s="4"/>
      <c r="AA79" s="9" t="e">
        <f t="shared" si="27"/>
        <v>#DIV/0!</v>
      </c>
      <c r="AB79" s="9" t="e">
        <f t="shared" si="28"/>
        <v>#DIV/0!</v>
      </c>
      <c r="AE79" s="7" t="e">
        <f t="shared" si="33"/>
        <v>#DIV/0!</v>
      </c>
      <c r="AF79" s="7" t="e">
        <f t="shared" si="34"/>
        <v>#DIV/0!</v>
      </c>
      <c r="AG79" s="7">
        <f t="shared" si="29"/>
        <v>0</v>
      </c>
      <c r="AH79" s="7">
        <f t="shared" si="30"/>
        <v>0</v>
      </c>
      <c r="AI79" s="7" t="e">
        <f t="shared" si="35"/>
        <v>#DIV/0!</v>
      </c>
      <c r="AJ79" s="7" t="e">
        <f t="shared" si="36"/>
        <v>#DIV/0!</v>
      </c>
      <c r="AK79" s="7" t="e">
        <f t="shared" si="37"/>
        <v>#DIV/0!</v>
      </c>
      <c r="AL79" s="7" t="e">
        <f t="shared" si="38"/>
        <v>#DIV/0!</v>
      </c>
    </row>
    <row r="80" spans="1:38" s="3" customFormat="1" ht="17" customHeight="1" x14ac:dyDescent="0.2">
      <c r="A80" s="5">
        <f t="shared" si="32"/>
        <v>74</v>
      </c>
      <c r="B80" s="5"/>
      <c r="C80" s="5"/>
      <c r="E80" s="4"/>
      <c r="F80" s="4"/>
      <c r="G80" s="4" t="str">
        <f t="shared" si="31"/>
        <v>_</v>
      </c>
      <c r="H80" s="4"/>
      <c r="K80" s="4"/>
      <c r="L80" s="4"/>
      <c r="M80" s="4"/>
      <c r="N80" s="4"/>
      <c r="R80" s="6"/>
      <c r="S80" s="6"/>
      <c r="T80" s="6"/>
      <c r="U80" s="6"/>
      <c r="V80" s="4"/>
      <c r="W80" s="4"/>
      <c r="X80" s="4"/>
      <c r="AA80" s="9" t="e">
        <f t="shared" si="27"/>
        <v>#DIV/0!</v>
      </c>
      <c r="AB80" s="9" t="e">
        <f t="shared" si="28"/>
        <v>#DIV/0!</v>
      </c>
      <c r="AE80" s="7" t="e">
        <f t="shared" si="33"/>
        <v>#DIV/0!</v>
      </c>
      <c r="AF80" s="7" t="e">
        <f t="shared" si="34"/>
        <v>#DIV/0!</v>
      </c>
      <c r="AG80" s="7">
        <f t="shared" si="29"/>
        <v>0</v>
      </c>
      <c r="AH80" s="7">
        <f t="shared" si="30"/>
        <v>0</v>
      </c>
      <c r="AI80" s="7" t="e">
        <f t="shared" si="35"/>
        <v>#DIV/0!</v>
      </c>
      <c r="AJ80" s="7" t="e">
        <f t="shared" si="36"/>
        <v>#DIV/0!</v>
      </c>
      <c r="AK80" s="7" t="e">
        <f t="shared" si="37"/>
        <v>#DIV/0!</v>
      </c>
      <c r="AL80" s="7" t="e">
        <f t="shared" si="38"/>
        <v>#DIV/0!</v>
      </c>
    </row>
    <row r="81" spans="1:38" s="3" customFormat="1" ht="17" customHeight="1" x14ac:dyDescent="0.2">
      <c r="A81" s="5">
        <f t="shared" si="32"/>
        <v>75</v>
      </c>
      <c r="B81" s="5"/>
      <c r="C81" s="5"/>
      <c r="E81" s="4"/>
      <c r="F81" s="4"/>
      <c r="G81" s="4" t="str">
        <f t="shared" si="31"/>
        <v>_</v>
      </c>
      <c r="H81" s="4"/>
      <c r="K81" s="4"/>
      <c r="L81" s="4"/>
      <c r="M81" s="4"/>
      <c r="N81" s="4"/>
      <c r="R81" s="6"/>
      <c r="S81" s="6"/>
      <c r="T81" s="6"/>
      <c r="U81" s="6"/>
      <c r="V81" s="4"/>
      <c r="W81" s="4"/>
      <c r="X81" s="4"/>
      <c r="AA81" s="9" t="e">
        <f t="shared" si="27"/>
        <v>#DIV/0!</v>
      </c>
      <c r="AB81" s="9" t="e">
        <f t="shared" si="28"/>
        <v>#DIV/0!</v>
      </c>
      <c r="AE81" s="7" t="e">
        <f t="shared" si="33"/>
        <v>#DIV/0!</v>
      </c>
      <c r="AF81" s="7" t="e">
        <f t="shared" si="34"/>
        <v>#DIV/0!</v>
      </c>
      <c r="AG81" s="7">
        <f t="shared" si="29"/>
        <v>0</v>
      </c>
      <c r="AH81" s="7">
        <f t="shared" si="30"/>
        <v>0</v>
      </c>
      <c r="AI81" s="7" t="e">
        <f t="shared" si="35"/>
        <v>#DIV/0!</v>
      </c>
      <c r="AJ81" s="7" t="e">
        <f t="shared" si="36"/>
        <v>#DIV/0!</v>
      </c>
      <c r="AK81" s="7" t="e">
        <f t="shared" si="37"/>
        <v>#DIV/0!</v>
      </c>
      <c r="AL81" s="7" t="e">
        <f t="shared" si="38"/>
        <v>#DIV/0!</v>
      </c>
    </row>
    <row r="82" spans="1:38" s="3" customFormat="1" ht="17" customHeight="1" x14ac:dyDescent="0.2">
      <c r="A82" s="5">
        <f t="shared" si="32"/>
        <v>76</v>
      </c>
      <c r="B82" s="5"/>
      <c r="C82" s="5"/>
      <c r="E82" s="4"/>
      <c r="F82" s="4"/>
      <c r="G82" s="4" t="str">
        <f t="shared" si="31"/>
        <v>_</v>
      </c>
      <c r="H82" s="4"/>
      <c r="K82" s="4"/>
      <c r="L82" s="4"/>
      <c r="M82" s="4"/>
      <c r="N82" s="4"/>
      <c r="R82" s="6"/>
      <c r="S82" s="6"/>
      <c r="T82" s="6"/>
      <c r="U82" s="6"/>
      <c r="V82" s="4"/>
      <c r="W82" s="4"/>
      <c r="X82" s="4"/>
      <c r="AA82" s="9" t="e">
        <f t="shared" si="27"/>
        <v>#DIV/0!</v>
      </c>
      <c r="AB82" s="9" t="e">
        <f t="shared" si="28"/>
        <v>#DIV/0!</v>
      </c>
      <c r="AE82" s="7" t="e">
        <f t="shared" si="33"/>
        <v>#DIV/0!</v>
      </c>
      <c r="AF82" s="7" t="e">
        <f t="shared" si="34"/>
        <v>#DIV/0!</v>
      </c>
      <c r="AG82" s="7">
        <f t="shared" si="29"/>
        <v>0</v>
      </c>
      <c r="AH82" s="7">
        <f t="shared" si="30"/>
        <v>0</v>
      </c>
      <c r="AI82" s="7" t="e">
        <f t="shared" si="35"/>
        <v>#DIV/0!</v>
      </c>
      <c r="AJ82" s="7" t="e">
        <f t="shared" si="36"/>
        <v>#DIV/0!</v>
      </c>
      <c r="AK82" s="7" t="e">
        <f t="shared" si="37"/>
        <v>#DIV/0!</v>
      </c>
      <c r="AL82" s="7" t="e">
        <f t="shared" si="38"/>
        <v>#DIV/0!</v>
      </c>
    </row>
    <row r="83" spans="1:38" s="3" customFormat="1" ht="17" customHeight="1" x14ac:dyDescent="0.2">
      <c r="A83" s="5">
        <f t="shared" si="32"/>
        <v>77</v>
      </c>
      <c r="B83" s="5"/>
      <c r="C83" s="5"/>
      <c r="E83" s="4"/>
      <c r="F83" s="4"/>
      <c r="G83" s="4" t="str">
        <f t="shared" si="31"/>
        <v>_</v>
      </c>
      <c r="H83" s="4"/>
      <c r="K83" s="4"/>
      <c r="L83" s="4"/>
      <c r="M83" s="4"/>
      <c r="N83" s="4"/>
      <c r="R83" s="6"/>
      <c r="S83" s="6"/>
      <c r="T83" s="6"/>
      <c r="U83" s="6"/>
      <c r="V83" s="4"/>
      <c r="W83" s="4"/>
      <c r="X83" s="4"/>
      <c r="AA83" s="9" t="e">
        <f t="shared" si="27"/>
        <v>#DIV/0!</v>
      </c>
      <c r="AB83" s="9" t="e">
        <f t="shared" si="28"/>
        <v>#DIV/0!</v>
      </c>
      <c r="AE83" s="7" t="e">
        <f t="shared" si="33"/>
        <v>#DIV/0!</v>
      </c>
      <c r="AF83" s="7" t="e">
        <f t="shared" si="34"/>
        <v>#DIV/0!</v>
      </c>
      <c r="AG83" s="7">
        <f t="shared" si="29"/>
        <v>0</v>
      </c>
      <c r="AH83" s="7">
        <f t="shared" si="30"/>
        <v>0</v>
      </c>
      <c r="AI83" s="7" t="e">
        <f t="shared" si="35"/>
        <v>#DIV/0!</v>
      </c>
      <c r="AJ83" s="7" t="e">
        <f t="shared" si="36"/>
        <v>#DIV/0!</v>
      </c>
      <c r="AK83" s="7" t="e">
        <f t="shared" si="37"/>
        <v>#DIV/0!</v>
      </c>
      <c r="AL83" s="7" t="e">
        <f t="shared" si="38"/>
        <v>#DIV/0!</v>
      </c>
    </row>
    <row r="84" spans="1:38" s="3" customFormat="1" ht="17" customHeight="1" x14ac:dyDescent="0.2">
      <c r="A84" s="5">
        <f t="shared" si="32"/>
        <v>78</v>
      </c>
      <c r="B84" s="5"/>
      <c r="C84" s="5"/>
      <c r="E84" s="4"/>
      <c r="F84" s="4"/>
      <c r="G84" s="4" t="str">
        <f t="shared" si="31"/>
        <v>_</v>
      </c>
      <c r="H84" s="4"/>
      <c r="K84" s="4"/>
      <c r="L84" s="4"/>
      <c r="M84" s="4"/>
      <c r="N84" s="4"/>
      <c r="R84" s="6"/>
      <c r="S84" s="6"/>
      <c r="T84" s="6"/>
      <c r="U84" s="6"/>
      <c r="V84" s="4"/>
      <c r="W84" s="4"/>
      <c r="X84" s="4"/>
      <c r="AA84" s="9" t="e">
        <f t="shared" si="27"/>
        <v>#DIV/0!</v>
      </c>
      <c r="AB84" s="9" t="e">
        <f t="shared" si="28"/>
        <v>#DIV/0!</v>
      </c>
      <c r="AE84" s="7" t="e">
        <f t="shared" si="33"/>
        <v>#DIV/0!</v>
      </c>
      <c r="AF84" s="7" t="e">
        <f t="shared" si="34"/>
        <v>#DIV/0!</v>
      </c>
      <c r="AG84" s="7">
        <f t="shared" si="29"/>
        <v>0</v>
      </c>
      <c r="AH84" s="7">
        <f t="shared" si="30"/>
        <v>0</v>
      </c>
      <c r="AI84" s="7" t="e">
        <f t="shared" si="35"/>
        <v>#DIV/0!</v>
      </c>
      <c r="AJ84" s="7" t="e">
        <f t="shared" si="36"/>
        <v>#DIV/0!</v>
      </c>
      <c r="AK84" s="7" t="e">
        <f t="shared" si="37"/>
        <v>#DIV/0!</v>
      </c>
      <c r="AL84" s="7" t="e">
        <f t="shared" si="38"/>
        <v>#DIV/0!</v>
      </c>
    </row>
    <row r="85" spans="1:38" s="3" customFormat="1" ht="17" customHeight="1" x14ac:dyDescent="0.2">
      <c r="A85" s="5">
        <f t="shared" si="32"/>
        <v>79</v>
      </c>
      <c r="B85" s="5"/>
      <c r="C85" s="5"/>
      <c r="E85" s="4"/>
      <c r="F85" s="4"/>
      <c r="G85" s="4" t="str">
        <f t="shared" si="31"/>
        <v>_</v>
      </c>
      <c r="H85" s="4"/>
      <c r="K85" s="4"/>
      <c r="L85" s="4"/>
      <c r="M85" s="4"/>
      <c r="N85" s="4"/>
      <c r="R85" s="6"/>
      <c r="S85" s="6"/>
      <c r="T85" s="6"/>
      <c r="U85" s="6"/>
      <c r="V85" s="4"/>
      <c r="W85" s="4"/>
      <c r="X85" s="4"/>
      <c r="AA85" s="9" t="e">
        <f t="shared" si="27"/>
        <v>#DIV/0!</v>
      </c>
      <c r="AB85" s="9" t="e">
        <f t="shared" si="28"/>
        <v>#DIV/0!</v>
      </c>
      <c r="AE85" s="7" t="e">
        <f t="shared" si="33"/>
        <v>#DIV/0!</v>
      </c>
      <c r="AF85" s="7" t="e">
        <f t="shared" si="34"/>
        <v>#DIV/0!</v>
      </c>
      <c r="AG85" s="7">
        <f t="shared" si="29"/>
        <v>0</v>
      </c>
      <c r="AH85" s="7">
        <f t="shared" si="30"/>
        <v>0</v>
      </c>
      <c r="AI85" s="7" t="e">
        <f t="shared" si="35"/>
        <v>#DIV/0!</v>
      </c>
      <c r="AJ85" s="7" t="e">
        <f t="shared" si="36"/>
        <v>#DIV/0!</v>
      </c>
      <c r="AK85" s="7" t="e">
        <f t="shared" si="37"/>
        <v>#DIV/0!</v>
      </c>
      <c r="AL85" s="7" t="e">
        <f t="shared" si="38"/>
        <v>#DIV/0!</v>
      </c>
    </row>
    <row r="86" spans="1:38" s="3" customFormat="1" ht="17" customHeight="1" x14ac:dyDescent="0.2">
      <c r="A86" s="5">
        <f t="shared" si="32"/>
        <v>80</v>
      </c>
      <c r="B86" s="5"/>
      <c r="C86" s="5"/>
      <c r="E86" s="4"/>
      <c r="F86" s="4"/>
      <c r="G86" s="4" t="str">
        <f t="shared" si="31"/>
        <v>_</v>
      </c>
      <c r="H86" s="4"/>
      <c r="K86" s="4"/>
      <c r="L86" s="4"/>
      <c r="M86" s="4"/>
      <c r="N86" s="4"/>
      <c r="R86" s="6"/>
      <c r="S86" s="6"/>
      <c r="T86" s="6"/>
      <c r="U86" s="6"/>
      <c r="V86" s="4"/>
      <c r="W86" s="4"/>
      <c r="X86" s="4"/>
      <c r="AA86" s="9" t="e">
        <f t="shared" si="27"/>
        <v>#DIV/0!</v>
      </c>
      <c r="AB86" s="9" t="e">
        <f t="shared" si="28"/>
        <v>#DIV/0!</v>
      </c>
      <c r="AE86" s="7" t="e">
        <f t="shared" si="33"/>
        <v>#DIV/0!</v>
      </c>
      <c r="AF86" s="7" t="e">
        <f t="shared" si="34"/>
        <v>#DIV/0!</v>
      </c>
      <c r="AG86" s="7">
        <f t="shared" si="29"/>
        <v>0</v>
      </c>
      <c r="AH86" s="7">
        <f t="shared" si="30"/>
        <v>0</v>
      </c>
      <c r="AI86" s="7" t="e">
        <f t="shared" si="35"/>
        <v>#DIV/0!</v>
      </c>
      <c r="AJ86" s="7" t="e">
        <f t="shared" si="36"/>
        <v>#DIV/0!</v>
      </c>
      <c r="AK86" s="7" t="e">
        <f t="shared" si="37"/>
        <v>#DIV/0!</v>
      </c>
      <c r="AL86" s="7" t="e">
        <f t="shared" si="38"/>
        <v>#DIV/0!</v>
      </c>
    </row>
    <row r="87" spans="1:38" s="3" customFormat="1" ht="17" customHeight="1" x14ac:dyDescent="0.2">
      <c r="A87" s="5">
        <f t="shared" si="32"/>
        <v>81</v>
      </c>
      <c r="B87" s="5"/>
      <c r="C87" s="5"/>
      <c r="E87" s="4"/>
      <c r="F87" s="4"/>
      <c r="G87" s="4" t="str">
        <f t="shared" si="31"/>
        <v>_</v>
      </c>
      <c r="H87" s="4"/>
      <c r="K87" s="4"/>
      <c r="L87" s="4"/>
      <c r="M87" s="4"/>
      <c r="N87" s="4"/>
      <c r="R87" s="6"/>
      <c r="S87" s="6"/>
      <c r="T87" s="6"/>
      <c r="U87" s="6"/>
      <c r="V87" s="4"/>
      <c r="W87" s="4"/>
      <c r="X87" s="4"/>
      <c r="AA87" s="9" t="e">
        <f t="shared" si="27"/>
        <v>#DIV/0!</v>
      </c>
      <c r="AB87" s="9" t="e">
        <f t="shared" si="28"/>
        <v>#DIV/0!</v>
      </c>
      <c r="AE87" s="7" t="e">
        <f t="shared" si="33"/>
        <v>#DIV/0!</v>
      </c>
      <c r="AF87" s="7" t="e">
        <f t="shared" si="34"/>
        <v>#DIV/0!</v>
      </c>
      <c r="AG87" s="7">
        <f t="shared" si="29"/>
        <v>0</v>
      </c>
      <c r="AH87" s="7">
        <f t="shared" si="30"/>
        <v>0</v>
      </c>
      <c r="AI87" s="7" t="e">
        <f t="shared" si="35"/>
        <v>#DIV/0!</v>
      </c>
      <c r="AJ87" s="7" t="e">
        <f t="shared" si="36"/>
        <v>#DIV/0!</v>
      </c>
      <c r="AK87" s="7" t="e">
        <f t="shared" si="37"/>
        <v>#DIV/0!</v>
      </c>
      <c r="AL87" s="7" t="e">
        <f t="shared" si="38"/>
        <v>#DIV/0!</v>
      </c>
    </row>
    <row r="88" spans="1:38" s="3" customFormat="1" ht="17" customHeight="1" x14ac:dyDescent="0.2">
      <c r="A88" s="5">
        <f t="shared" si="32"/>
        <v>82</v>
      </c>
      <c r="B88" s="5"/>
      <c r="C88" s="5"/>
      <c r="E88" s="4"/>
      <c r="F88" s="4"/>
      <c r="G88" s="4" t="str">
        <f t="shared" si="31"/>
        <v>_</v>
      </c>
      <c r="H88" s="4"/>
      <c r="K88" s="4"/>
      <c r="L88" s="4"/>
      <c r="M88" s="4"/>
      <c r="N88" s="4"/>
      <c r="R88" s="6"/>
      <c r="S88" s="6"/>
      <c r="T88" s="6"/>
      <c r="U88" s="6"/>
      <c r="V88" s="4"/>
      <c r="W88" s="4"/>
      <c r="X88" s="4"/>
      <c r="AA88" s="9" t="e">
        <f t="shared" si="27"/>
        <v>#DIV/0!</v>
      </c>
      <c r="AB88" s="9" t="e">
        <f t="shared" si="28"/>
        <v>#DIV/0!</v>
      </c>
      <c r="AE88" s="7" t="e">
        <f t="shared" si="33"/>
        <v>#DIV/0!</v>
      </c>
      <c r="AF88" s="7" t="e">
        <f t="shared" si="34"/>
        <v>#DIV/0!</v>
      </c>
      <c r="AG88" s="7">
        <f t="shared" si="29"/>
        <v>0</v>
      </c>
      <c r="AH88" s="7">
        <f t="shared" si="30"/>
        <v>0</v>
      </c>
      <c r="AI88" s="7" t="e">
        <f t="shared" si="35"/>
        <v>#DIV/0!</v>
      </c>
      <c r="AJ88" s="7" t="e">
        <f t="shared" si="36"/>
        <v>#DIV/0!</v>
      </c>
      <c r="AK88" s="7" t="e">
        <f t="shared" si="37"/>
        <v>#DIV/0!</v>
      </c>
      <c r="AL88" s="7" t="e">
        <f t="shared" si="38"/>
        <v>#DIV/0!</v>
      </c>
    </row>
    <row r="89" spans="1:38" s="3" customFormat="1" ht="17" customHeight="1" x14ac:dyDescent="0.2">
      <c r="A89" s="5">
        <f t="shared" si="32"/>
        <v>83</v>
      </c>
      <c r="B89" s="5"/>
      <c r="C89" s="5"/>
      <c r="E89" s="4"/>
      <c r="F89" s="4"/>
      <c r="G89" s="4" t="str">
        <f t="shared" si="31"/>
        <v>_</v>
      </c>
      <c r="H89" s="4"/>
      <c r="K89" s="4"/>
      <c r="L89" s="4"/>
      <c r="M89" s="4"/>
      <c r="N89" s="4"/>
      <c r="R89" s="6"/>
      <c r="S89" s="6"/>
      <c r="T89" s="6"/>
      <c r="U89" s="6"/>
      <c r="V89" s="4"/>
      <c r="W89" s="4"/>
      <c r="X89" s="4"/>
      <c r="AA89" s="9" t="e">
        <f t="shared" si="27"/>
        <v>#DIV/0!</v>
      </c>
      <c r="AB89" s="9" t="e">
        <f t="shared" si="28"/>
        <v>#DIV/0!</v>
      </c>
      <c r="AE89" s="7" t="e">
        <f t="shared" si="33"/>
        <v>#DIV/0!</v>
      </c>
      <c r="AF89" s="7" t="e">
        <f t="shared" si="34"/>
        <v>#DIV/0!</v>
      </c>
      <c r="AG89" s="7">
        <f t="shared" si="29"/>
        <v>0</v>
      </c>
      <c r="AH89" s="7">
        <f t="shared" si="30"/>
        <v>0</v>
      </c>
      <c r="AI89" s="7" t="e">
        <f t="shared" si="35"/>
        <v>#DIV/0!</v>
      </c>
      <c r="AJ89" s="7" t="e">
        <f t="shared" si="36"/>
        <v>#DIV/0!</v>
      </c>
      <c r="AK89" s="7" t="e">
        <f t="shared" si="37"/>
        <v>#DIV/0!</v>
      </c>
      <c r="AL89" s="7" t="e">
        <f t="shared" si="38"/>
        <v>#DIV/0!</v>
      </c>
    </row>
    <row r="90" spans="1:38" s="3" customFormat="1" ht="17" customHeight="1" x14ac:dyDescent="0.2">
      <c r="A90" s="5">
        <f t="shared" si="32"/>
        <v>84</v>
      </c>
      <c r="B90" s="5"/>
      <c r="C90" s="5"/>
      <c r="E90" s="4"/>
      <c r="F90" s="4"/>
      <c r="G90" s="4" t="str">
        <f t="shared" si="31"/>
        <v>_</v>
      </c>
      <c r="H90" s="4"/>
      <c r="K90" s="4"/>
      <c r="L90" s="4"/>
      <c r="M90" s="4"/>
      <c r="N90" s="4"/>
      <c r="R90" s="6"/>
      <c r="S90" s="6"/>
      <c r="T90" s="6"/>
      <c r="U90" s="6"/>
      <c r="V90" s="4"/>
      <c r="W90" s="4"/>
      <c r="X90" s="4"/>
      <c r="AA90" s="9" t="e">
        <f t="shared" si="27"/>
        <v>#DIV/0!</v>
      </c>
      <c r="AB90" s="9" t="e">
        <f t="shared" si="28"/>
        <v>#DIV/0!</v>
      </c>
      <c r="AE90" s="7" t="e">
        <f t="shared" si="33"/>
        <v>#DIV/0!</v>
      </c>
      <c r="AF90" s="7" t="e">
        <f t="shared" si="34"/>
        <v>#DIV/0!</v>
      </c>
      <c r="AG90" s="7">
        <f t="shared" si="29"/>
        <v>0</v>
      </c>
      <c r="AH90" s="7">
        <f t="shared" si="30"/>
        <v>0</v>
      </c>
      <c r="AI90" s="7" t="e">
        <f t="shared" si="35"/>
        <v>#DIV/0!</v>
      </c>
      <c r="AJ90" s="7" t="e">
        <f t="shared" si="36"/>
        <v>#DIV/0!</v>
      </c>
      <c r="AK90" s="7" t="e">
        <f t="shared" si="37"/>
        <v>#DIV/0!</v>
      </c>
      <c r="AL90" s="7" t="e">
        <f t="shared" si="38"/>
        <v>#DIV/0!</v>
      </c>
    </row>
    <row r="91" spans="1:38" s="3" customFormat="1" ht="17" customHeight="1" x14ac:dyDescent="0.2">
      <c r="A91" s="5">
        <f t="shared" si="32"/>
        <v>85</v>
      </c>
      <c r="B91" s="5"/>
      <c r="C91" s="5"/>
      <c r="E91" s="4"/>
      <c r="F91" s="4"/>
      <c r="G91" s="4" t="str">
        <f t="shared" si="31"/>
        <v>_</v>
      </c>
      <c r="H91" s="4"/>
      <c r="K91" s="4"/>
      <c r="L91" s="4"/>
      <c r="M91" s="4"/>
      <c r="N91" s="4"/>
      <c r="R91" s="6"/>
      <c r="S91" s="6"/>
      <c r="T91" s="6"/>
      <c r="U91" s="6"/>
      <c r="V91" s="4"/>
      <c r="W91" s="4"/>
      <c r="X91" s="4"/>
      <c r="AA91" s="9" t="e">
        <f t="shared" si="27"/>
        <v>#DIV/0!</v>
      </c>
      <c r="AB91" s="9" t="e">
        <f t="shared" si="28"/>
        <v>#DIV/0!</v>
      </c>
      <c r="AE91" s="7" t="e">
        <f t="shared" si="33"/>
        <v>#DIV/0!</v>
      </c>
      <c r="AF91" s="7" t="e">
        <f t="shared" si="34"/>
        <v>#DIV/0!</v>
      </c>
      <c r="AG91" s="7">
        <f t="shared" si="29"/>
        <v>0</v>
      </c>
      <c r="AH91" s="7">
        <f t="shared" si="30"/>
        <v>0</v>
      </c>
      <c r="AI91" s="7" t="e">
        <f t="shared" si="35"/>
        <v>#DIV/0!</v>
      </c>
      <c r="AJ91" s="7" t="e">
        <f t="shared" si="36"/>
        <v>#DIV/0!</v>
      </c>
      <c r="AK91" s="7" t="e">
        <f t="shared" si="37"/>
        <v>#DIV/0!</v>
      </c>
      <c r="AL91" s="7" t="e">
        <f t="shared" si="38"/>
        <v>#DIV/0!</v>
      </c>
    </row>
    <row r="92" spans="1:38" s="3" customFormat="1" ht="17" customHeight="1" x14ac:dyDescent="0.2">
      <c r="A92" s="5">
        <f t="shared" si="32"/>
        <v>86</v>
      </c>
      <c r="B92" s="5"/>
      <c r="C92" s="5"/>
      <c r="E92" s="4"/>
      <c r="F92" s="4"/>
      <c r="G92" s="4" t="str">
        <f t="shared" si="31"/>
        <v>_</v>
      </c>
      <c r="H92" s="4"/>
      <c r="K92" s="4"/>
      <c r="L92" s="4"/>
      <c r="M92" s="4"/>
      <c r="N92" s="4"/>
      <c r="R92" s="6"/>
      <c r="S92" s="6"/>
      <c r="T92" s="6"/>
      <c r="U92" s="6"/>
      <c r="V92" s="4"/>
      <c r="W92" s="4"/>
      <c r="X92" s="4"/>
      <c r="AA92" s="9" t="e">
        <f t="shared" si="27"/>
        <v>#DIV/0!</v>
      </c>
      <c r="AB92" s="9" t="e">
        <f t="shared" si="28"/>
        <v>#DIV/0!</v>
      </c>
      <c r="AE92" s="7" t="e">
        <f t="shared" si="33"/>
        <v>#DIV/0!</v>
      </c>
      <c r="AF92" s="7" t="e">
        <f t="shared" si="34"/>
        <v>#DIV/0!</v>
      </c>
      <c r="AG92" s="7">
        <f t="shared" si="29"/>
        <v>0</v>
      </c>
      <c r="AH92" s="7">
        <f t="shared" si="30"/>
        <v>0</v>
      </c>
      <c r="AI92" s="7" t="e">
        <f t="shared" si="35"/>
        <v>#DIV/0!</v>
      </c>
      <c r="AJ92" s="7" t="e">
        <f t="shared" si="36"/>
        <v>#DIV/0!</v>
      </c>
      <c r="AK92" s="7" t="e">
        <f t="shared" si="37"/>
        <v>#DIV/0!</v>
      </c>
      <c r="AL92" s="7" t="e">
        <f t="shared" si="38"/>
        <v>#DIV/0!</v>
      </c>
    </row>
    <row r="93" spans="1:38" s="3" customFormat="1" ht="17" customHeight="1" x14ac:dyDescent="0.2">
      <c r="A93" s="5">
        <f t="shared" si="32"/>
        <v>87</v>
      </c>
      <c r="B93" s="5"/>
      <c r="C93" s="5"/>
      <c r="E93" s="4"/>
      <c r="F93" s="4"/>
      <c r="G93" s="4" t="str">
        <f t="shared" si="31"/>
        <v>_</v>
      </c>
      <c r="H93" s="4"/>
      <c r="K93" s="4"/>
      <c r="L93" s="4"/>
      <c r="M93" s="4"/>
      <c r="N93" s="4"/>
      <c r="R93" s="6"/>
      <c r="S93" s="6"/>
      <c r="T93" s="6"/>
      <c r="U93" s="6"/>
      <c r="V93" s="4"/>
      <c r="W93" s="4"/>
      <c r="X93" s="4"/>
      <c r="AA93" s="9" t="e">
        <f t="shared" si="27"/>
        <v>#DIV/0!</v>
      </c>
      <c r="AB93" s="9" t="e">
        <f t="shared" si="28"/>
        <v>#DIV/0!</v>
      </c>
      <c r="AE93" s="7" t="e">
        <f t="shared" si="33"/>
        <v>#DIV/0!</v>
      </c>
      <c r="AF93" s="7" t="e">
        <f t="shared" si="34"/>
        <v>#DIV/0!</v>
      </c>
      <c r="AG93" s="7">
        <f t="shared" si="29"/>
        <v>0</v>
      </c>
      <c r="AH93" s="7">
        <f t="shared" si="30"/>
        <v>0</v>
      </c>
      <c r="AI93" s="7" t="e">
        <f t="shared" si="35"/>
        <v>#DIV/0!</v>
      </c>
      <c r="AJ93" s="7" t="e">
        <f t="shared" si="36"/>
        <v>#DIV/0!</v>
      </c>
      <c r="AK93" s="7" t="e">
        <f t="shared" si="37"/>
        <v>#DIV/0!</v>
      </c>
      <c r="AL93" s="7" t="e">
        <f t="shared" si="38"/>
        <v>#DIV/0!</v>
      </c>
    </row>
    <row r="94" spans="1:38" s="3" customFormat="1" ht="17" customHeight="1" x14ac:dyDescent="0.2">
      <c r="A94" s="5">
        <f t="shared" si="32"/>
        <v>88</v>
      </c>
      <c r="B94" s="5"/>
      <c r="C94" s="5"/>
      <c r="E94" s="4"/>
      <c r="F94" s="4"/>
      <c r="G94" s="4" t="str">
        <f t="shared" si="31"/>
        <v>_</v>
      </c>
      <c r="H94" s="4"/>
      <c r="K94" s="4"/>
      <c r="L94" s="4"/>
      <c r="M94" s="4"/>
      <c r="N94" s="4"/>
      <c r="R94" s="6"/>
      <c r="S94" s="6"/>
      <c r="T94" s="6"/>
      <c r="U94" s="6"/>
      <c r="V94" s="4"/>
      <c r="W94" s="4"/>
      <c r="X94" s="4"/>
      <c r="AA94" s="9" t="e">
        <f t="shared" si="27"/>
        <v>#DIV/0!</v>
      </c>
      <c r="AB94" s="9" t="e">
        <f t="shared" si="28"/>
        <v>#DIV/0!</v>
      </c>
      <c r="AE94" s="7" t="e">
        <f t="shared" si="33"/>
        <v>#DIV/0!</v>
      </c>
      <c r="AF94" s="7" t="e">
        <f t="shared" si="34"/>
        <v>#DIV/0!</v>
      </c>
      <c r="AG94" s="7">
        <f t="shared" si="29"/>
        <v>0</v>
      </c>
      <c r="AH94" s="7">
        <f t="shared" si="30"/>
        <v>0</v>
      </c>
      <c r="AI94" s="7" t="e">
        <f t="shared" si="35"/>
        <v>#DIV/0!</v>
      </c>
      <c r="AJ94" s="7" t="e">
        <f t="shared" si="36"/>
        <v>#DIV/0!</v>
      </c>
      <c r="AK94" s="7" t="e">
        <f t="shared" si="37"/>
        <v>#DIV/0!</v>
      </c>
      <c r="AL94" s="7" t="e">
        <f t="shared" si="38"/>
        <v>#DIV/0!</v>
      </c>
    </row>
    <row r="95" spans="1:38" s="3" customFormat="1" ht="17" customHeight="1" x14ac:dyDescent="0.2">
      <c r="A95" s="5">
        <f t="shared" si="32"/>
        <v>89</v>
      </c>
      <c r="B95" s="5"/>
      <c r="C95" s="5"/>
      <c r="E95" s="4"/>
      <c r="F95" s="4"/>
      <c r="G95" s="4" t="str">
        <f t="shared" si="31"/>
        <v>_</v>
      </c>
      <c r="H95" s="4"/>
      <c r="K95" s="4"/>
      <c r="L95" s="4"/>
      <c r="M95" s="4"/>
      <c r="N95" s="4"/>
      <c r="R95" s="6"/>
      <c r="S95" s="6"/>
      <c r="T95" s="6"/>
      <c r="U95" s="6"/>
      <c r="V95" s="4"/>
      <c r="W95" s="4"/>
      <c r="X95" s="4"/>
      <c r="AA95" s="9" t="e">
        <f t="shared" si="27"/>
        <v>#DIV/0!</v>
      </c>
      <c r="AB95" s="9" t="e">
        <f t="shared" si="28"/>
        <v>#DIV/0!</v>
      </c>
      <c r="AE95" s="7" t="e">
        <f t="shared" si="33"/>
        <v>#DIV/0!</v>
      </c>
      <c r="AF95" s="7" t="e">
        <f t="shared" si="34"/>
        <v>#DIV/0!</v>
      </c>
      <c r="AG95" s="7">
        <f t="shared" si="29"/>
        <v>0</v>
      </c>
      <c r="AH95" s="7">
        <f t="shared" si="30"/>
        <v>0</v>
      </c>
      <c r="AI95" s="7" t="e">
        <f t="shared" si="35"/>
        <v>#DIV/0!</v>
      </c>
      <c r="AJ95" s="7" t="e">
        <f t="shared" si="36"/>
        <v>#DIV/0!</v>
      </c>
      <c r="AK95" s="7" t="e">
        <f t="shared" si="37"/>
        <v>#DIV/0!</v>
      </c>
      <c r="AL95" s="7" t="e">
        <f t="shared" si="38"/>
        <v>#DIV/0!</v>
      </c>
    </row>
    <row r="96" spans="1:38" s="3" customFormat="1" ht="17" customHeight="1" x14ac:dyDescent="0.2">
      <c r="A96" s="5">
        <f t="shared" si="32"/>
        <v>90</v>
      </c>
      <c r="B96" s="5"/>
      <c r="C96" s="5"/>
      <c r="E96" s="4"/>
      <c r="F96" s="4"/>
      <c r="G96" s="4" t="str">
        <f t="shared" si="31"/>
        <v>_</v>
      </c>
      <c r="H96" s="4"/>
      <c r="K96" s="4"/>
      <c r="L96" s="4"/>
      <c r="M96" s="4"/>
      <c r="N96" s="4"/>
      <c r="R96" s="6"/>
      <c r="S96" s="6"/>
      <c r="T96" s="6"/>
      <c r="U96" s="6"/>
      <c r="V96" s="4"/>
      <c r="W96" s="4"/>
      <c r="X96" s="4"/>
      <c r="AA96" s="9" t="e">
        <f t="shared" si="27"/>
        <v>#DIV/0!</v>
      </c>
      <c r="AB96" s="9" t="e">
        <f t="shared" si="28"/>
        <v>#DIV/0!</v>
      </c>
      <c r="AE96" s="7" t="e">
        <f t="shared" si="33"/>
        <v>#DIV/0!</v>
      </c>
      <c r="AF96" s="7" t="e">
        <f t="shared" si="34"/>
        <v>#DIV/0!</v>
      </c>
      <c r="AG96" s="7">
        <f t="shared" si="29"/>
        <v>0</v>
      </c>
      <c r="AH96" s="7">
        <f t="shared" si="30"/>
        <v>0</v>
      </c>
      <c r="AI96" s="7" t="e">
        <f t="shared" si="35"/>
        <v>#DIV/0!</v>
      </c>
      <c r="AJ96" s="7" t="e">
        <f t="shared" si="36"/>
        <v>#DIV/0!</v>
      </c>
      <c r="AK96" s="7" t="e">
        <f t="shared" si="37"/>
        <v>#DIV/0!</v>
      </c>
      <c r="AL96" s="7" t="e">
        <f t="shared" si="38"/>
        <v>#DIV/0!</v>
      </c>
    </row>
    <row r="97" spans="1:38" s="3" customFormat="1" ht="17" customHeight="1" x14ac:dyDescent="0.2">
      <c r="A97" s="5">
        <f t="shared" si="32"/>
        <v>91</v>
      </c>
      <c r="B97" s="5"/>
      <c r="C97" s="5"/>
      <c r="E97" s="4"/>
      <c r="F97" s="4"/>
      <c r="G97" s="4" t="str">
        <f t="shared" si="31"/>
        <v>_</v>
      </c>
      <c r="H97" s="4"/>
      <c r="K97" s="4"/>
      <c r="L97" s="4"/>
      <c r="M97" s="4"/>
      <c r="N97" s="4"/>
      <c r="R97" s="6"/>
      <c r="S97" s="6"/>
      <c r="T97" s="6"/>
      <c r="U97" s="6"/>
      <c r="V97" s="4"/>
      <c r="W97" s="4"/>
      <c r="X97" s="4"/>
      <c r="AA97" s="9" t="e">
        <f t="shared" si="27"/>
        <v>#DIV/0!</v>
      </c>
      <c r="AB97" s="9" t="e">
        <f t="shared" si="28"/>
        <v>#DIV/0!</v>
      </c>
      <c r="AE97" s="7" t="e">
        <f t="shared" si="33"/>
        <v>#DIV/0!</v>
      </c>
      <c r="AF97" s="7" t="e">
        <f t="shared" si="34"/>
        <v>#DIV/0!</v>
      </c>
      <c r="AG97" s="7">
        <f t="shared" si="29"/>
        <v>0</v>
      </c>
      <c r="AH97" s="7">
        <f t="shared" si="30"/>
        <v>0</v>
      </c>
      <c r="AI97" s="7" t="e">
        <f t="shared" si="35"/>
        <v>#DIV/0!</v>
      </c>
      <c r="AJ97" s="7" t="e">
        <f t="shared" si="36"/>
        <v>#DIV/0!</v>
      </c>
      <c r="AK97" s="7" t="e">
        <f t="shared" si="37"/>
        <v>#DIV/0!</v>
      </c>
      <c r="AL97" s="7" t="e">
        <f t="shared" si="38"/>
        <v>#DIV/0!</v>
      </c>
    </row>
    <row r="98" spans="1:38" s="3" customFormat="1" ht="17" customHeight="1" x14ac:dyDescent="0.2">
      <c r="A98" s="5">
        <f t="shared" si="32"/>
        <v>92</v>
      </c>
      <c r="B98" s="5"/>
      <c r="C98" s="5"/>
      <c r="E98" s="4"/>
      <c r="F98" s="4"/>
      <c r="G98" s="4" t="str">
        <f t="shared" si="31"/>
        <v>_</v>
      </c>
      <c r="H98" s="4"/>
      <c r="K98" s="4"/>
      <c r="L98" s="4"/>
      <c r="M98" s="4"/>
      <c r="N98" s="4"/>
      <c r="R98" s="6"/>
      <c r="S98" s="6"/>
      <c r="T98" s="6"/>
      <c r="U98" s="6"/>
      <c r="V98" s="4"/>
      <c r="W98" s="4"/>
      <c r="X98" s="4"/>
      <c r="AA98" s="9" t="e">
        <f t="shared" si="27"/>
        <v>#DIV/0!</v>
      </c>
      <c r="AB98" s="9" t="e">
        <f t="shared" si="28"/>
        <v>#DIV/0!</v>
      </c>
      <c r="AE98" s="7" t="e">
        <f t="shared" si="33"/>
        <v>#DIV/0!</v>
      </c>
      <c r="AF98" s="7" t="e">
        <f t="shared" si="34"/>
        <v>#DIV/0!</v>
      </c>
      <c r="AG98" s="7">
        <f t="shared" si="29"/>
        <v>0</v>
      </c>
      <c r="AH98" s="7">
        <f t="shared" si="30"/>
        <v>0</v>
      </c>
      <c r="AI98" s="7" t="e">
        <f t="shared" si="35"/>
        <v>#DIV/0!</v>
      </c>
      <c r="AJ98" s="7" t="e">
        <f t="shared" si="36"/>
        <v>#DIV/0!</v>
      </c>
      <c r="AK98" s="7" t="e">
        <f t="shared" si="37"/>
        <v>#DIV/0!</v>
      </c>
      <c r="AL98" s="7" t="e">
        <f t="shared" si="38"/>
        <v>#DIV/0!</v>
      </c>
    </row>
    <row r="99" spans="1:38" s="3" customFormat="1" ht="17" customHeight="1" x14ac:dyDescent="0.2">
      <c r="A99" s="5">
        <f t="shared" si="32"/>
        <v>93</v>
      </c>
      <c r="B99" s="5"/>
      <c r="C99" s="5"/>
      <c r="E99" s="4"/>
      <c r="F99" s="4"/>
      <c r="G99" s="4" t="str">
        <f t="shared" si="31"/>
        <v>_</v>
      </c>
      <c r="H99" s="4"/>
      <c r="K99" s="4"/>
      <c r="L99" s="4"/>
      <c r="M99" s="4"/>
      <c r="N99" s="4"/>
      <c r="R99" s="6"/>
      <c r="S99" s="6"/>
      <c r="T99" s="6"/>
      <c r="U99" s="6"/>
      <c r="V99" s="4"/>
      <c r="W99" s="4"/>
      <c r="X99" s="4"/>
      <c r="AA99" s="9" t="e">
        <f t="shared" si="27"/>
        <v>#DIV/0!</v>
      </c>
      <c r="AB99" s="9" t="e">
        <f t="shared" si="28"/>
        <v>#DIV/0!</v>
      </c>
      <c r="AE99" s="7" t="e">
        <f t="shared" si="33"/>
        <v>#DIV/0!</v>
      </c>
      <c r="AF99" s="7" t="e">
        <f t="shared" si="34"/>
        <v>#DIV/0!</v>
      </c>
      <c r="AG99" s="7">
        <f t="shared" si="29"/>
        <v>0</v>
      </c>
      <c r="AH99" s="7">
        <f t="shared" si="30"/>
        <v>0</v>
      </c>
      <c r="AI99" s="7" t="e">
        <f t="shared" si="35"/>
        <v>#DIV/0!</v>
      </c>
      <c r="AJ99" s="7" t="e">
        <f t="shared" si="36"/>
        <v>#DIV/0!</v>
      </c>
      <c r="AK99" s="7" t="e">
        <f t="shared" si="37"/>
        <v>#DIV/0!</v>
      </c>
      <c r="AL99" s="7" t="e">
        <f t="shared" si="38"/>
        <v>#DIV/0!</v>
      </c>
    </row>
    <row r="100" spans="1:38" s="3" customFormat="1" ht="17" customHeight="1" x14ac:dyDescent="0.2">
      <c r="A100" s="5">
        <f t="shared" si="32"/>
        <v>94</v>
      </c>
      <c r="B100" s="5"/>
      <c r="C100" s="5"/>
      <c r="E100" s="4"/>
      <c r="F100" s="4"/>
      <c r="G100" s="4" t="str">
        <f t="shared" si="31"/>
        <v>_</v>
      </c>
      <c r="H100" s="4"/>
      <c r="K100" s="4"/>
      <c r="L100" s="4"/>
      <c r="M100" s="4"/>
      <c r="N100" s="4"/>
      <c r="R100" s="6"/>
      <c r="S100" s="6"/>
      <c r="T100" s="6"/>
      <c r="U100" s="6"/>
      <c r="V100" s="4"/>
      <c r="W100" s="4"/>
      <c r="X100" s="4"/>
      <c r="AA100" s="9" t="e">
        <f t="shared" ref="AA100:AA131" si="39">(1/1.249)*AI100+(1-(1/1.249))*AJ100</f>
        <v>#DIV/0!</v>
      </c>
      <c r="AB100" s="9" t="e">
        <f t="shared" ref="AB100:AB131" si="40">(1/1.249)*AK100+(1-(1/1.249))*AL100</f>
        <v>#DIV/0!</v>
      </c>
      <c r="AE100" s="7" t="e">
        <f t="shared" si="33"/>
        <v>#DIV/0!</v>
      </c>
      <c r="AF100" s="7" t="e">
        <f t="shared" si="34"/>
        <v>#DIV/0!</v>
      </c>
      <c r="AG100" s="7">
        <f t="shared" ref="AG100:AG131" si="41">(R100+T100)/2</f>
        <v>0</v>
      </c>
      <c r="AH100" s="7">
        <f t="shared" ref="AH100:AH131" si="42">(S100+U100)/4</f>
        <v>0</v>
      </c>
      <c r="AI100" s="7" t="e">
        <f t="shared" si="35"/>
        <v>#DIV/0!</v>
      </c>
      <c r="AJ100" s="7" t="e">
        <f t="shared" si="36"/>
        <v>#DIV/0!</v>
      </c>
      <c r="AK100" s="7" t="e">
        <f t="shared" si="37"/>
        <v>#DIV/0!</v>
      </c>
      <c r="AL100" s="7" t="e">
        <f t="shared" si="38"/>
        <v>#DIV/0!</v>
      </c>
    </row>
    <row r="101" spans="1:38" s="3" customFormat="1" ht="17" customHeight="1" x14ac:dyDescent="0.2">
      <c r="A101" s="5">
        <f t="shared" si="32"/>
        <v>95</v>
      </c>
      <c r="B101" s="5"/>
      <c r="C101" s="5"/>
      <c r="E101" s="4"/>
      <c r="F101" s="4"/>
      <c r="G101" s="4" t="str">
        <f t="shared" si="31"/>
        <v>_</v>
      </c>
      <c r="H101" s="4"/>
      <c r="K101" s="4"/>
      <c r="L101" s="4"/>
      <c r="M101" s="4"/>
      <c r="N101" s="4"/>
      <c r="R101" s="6"/>
      <c r="S101" s="6"/>
      <c r="T101" s="6"/>
      <c r="U101" s="6"/>
      <c r="V101" s="4"/>
      <c r="W101" s="4"/>
      <c r="X101" s="4"/>
      <c r="AA101" s="9" t="e">
        <f t="shared" si="39"/>
        <v>#DIV/0!</v>
      </c>
      <c r="AB101" s="9" t="e">
        <f t="shared" si="40"/>
        <v>#DIV/0!</v>
      </c>
      <c r="AE101" s="7" t="e">
        <f t="shared" si="33"/>
        <v>#DIV/0!</v>
      </c>
      <c r="AF101" s="7" t="e">
        <f t="shared" si="34"/>
        <v>#DIV/0!</v>
      </c>
      <c r="AG101" s="7">
        <f t="shared" si="41"/>
        <v>0</v>
      </c>
      <c r="AH101" s="7">
        <f t="shared" si="42"/>
        <v>0</v>
      </c>
      <c r="AI101" s="7" t="e">
        <f t="shared" si="35"/>
        <v>#DIV/0!</v>
      </c>
      <c r="AJ101" s="7" t="e">
        <f t="shared" si="36"/>
        <v>#DIV/0!</v>
      </c>
      <c r="AK101" s="7" t="e">
        <f t="shared" si="37"/>
        <v>#DIV/0!</v>
      </c>
      <c r="AL101" s="7" t="e">
        <f t="shared" si="38"/>
        <v>#DIV/0!</v>
      </c>
    </row>
    <row r="102" spans="1:38" s="3" customFormat="1" ht="17" customHeight="1" x14ac:dyDescent="0.2">
      <c r="A102" s="5">
        <f t="shared" si="32"/>
        <v>96</v>
      </c>
      <c r="B102" s="5"/>
      <c r="C102" s="5"/>
      <c r="E102" s="4"/>
      <c r="F102" s="4"/>
      <c r="G102" s="4" t="str">
        <f t="shared" si="31"/>
        <v>_</v>
      </c>
      <c r="H102" s="4"/>
      <c r="K102" s="4"/>
      <c r="L102" s="4"/>
      <c r="M102" s="4"/>
      <c r="N102" s="4"/>
      <c r="R102" s="6"/>
      <c r="S102" s="6"/>
      <c r="T102" s="6"/>
      <c r="U102" s="6"/>
      <c r="V102" s="4"/>
      <c r="W102" s="4"/>
      <c r="X102" s="4"/>
      <c r="AA102" s="9" t="e">
        <f t="shared" si="39"/>
        <v>#DIV/0!</v>
      </c>
      <c r="AB102" s="9" t="e">
        <f t="shared" si="40"/>
        <v>#DIV/0!</v>
      </c>
      <c r="AE102" s="7" t="e">
        <f t="shared" si="33"/>
        <v>#DIV/0!</v>
      </c>
      <c r="AF102" s="7" t="e">
        <f t="shared" si="34"/>
        <v>#DIV/0!</v>
      </c>
      <c r="AG102" s="7">
        <f t="shared" si="41"/>
        <v>0</v>
      </c>
      <c r="AH102" s="7">
        <f t="shared" si="42"/>
        <v>0</v>
      </c>
      <c r="AI102" s="7" t="e">
        <f t="shared" si="35"/>
        <v>#DIV/0!</v>
      </c>
      <c r="AJ102" s="7" t="e">
        <f t="shared" si="36"/>
        <v>#DIV/0!</v>
      </c>
      <c r="AK102" s="7" t="e">
        <f t="shared" si="37"/>
        <v>#DIV/0!</v>
      </c>
      <c r="AL102" s="7" t="e">
        <f t="shared" si="38"/>
        <v>#DIV/0!</v>
      </c>
    </row>
    <row r="103" spans="1:38" s="3" customFormat="1" ht="17" customHeight="1" x14ac:dyDescent="0.2">
      <c r="A103" s="5">
        <f t="shared" si="32"/>
        <v>97</v>
      </c>
      <c r="B103" s="5"/>
      <c r="C103" s="5"/>
      <c r="E103" s="4"/>
      <c r="F103" s="4"/>
      <c r="G103" s="4" t="str">
        <f t="shared" si="31"/>
        <v>_</v>
      </c>
      <c r="H103" s="4"/>
      <c r="K103" s="4"/>
      <c r="L103" s="4"/>
      <c r="M103" s="4"/>
      <c r="N103" s="4"/>
      <c r="R103" s="6"/>
      <c r="S103" s="6"/>
      <c r="T103" s="6"/>
      <c r="U103" s="6"/>
      <c r="V103" s="4"/>
      <c r="W103" s="4"/>
      <c r="X103" s="4"/>
      <c r="AA103" s="9" t="e">
        <f t="shared" si="39"/>
        <v>#DIV/0!</v>
      </c>
      <c r="AB103" s="9" t="e">
        <f t="shared" si="40"/>
        <v>#DIV/0!</v>
      </c>
      <c r="AE103" s="7" t="e">
        <f t="shared" si="33"/>
        <v>#DIV/0!</v>
      </c>
      <c r="AF103" s="7" t="e">
        <f t="shared" si="34"/>
        <v>#DIV/0!</v>
      </c>
      <c r="AG103" s="7">
        <f t="shared" si="41"/>
        <v>0</v>
      </c>
      <c r="AH103" s="7">
        <f t="shared" si="42"/>
        <v>0</v>
      </c>
      <c r="AI103" s="7" t="e">
        <f t="shared" si="35"/>
        <v>#DIV/0!</v>
      </c>
      <c r="AJ103" s="7" t="e">
        <f t="shared" si="36"/>
        <v>#DIV/0!</v>
      </c>
      <c r="AK103" s="7" t="e">
        <f t="shared" si="37"/>
        <v>#DIV/0!</v>
      </c>
      <c r="AL103" s="7" t="e">
        <f t="shared" si="38"/>
        <v>#DIV/0!</v>
      </c>
    </row>
    <row r="104" spans="1:38" s="3" customFormat="1" ht="17" customHeight="1" x14ac:dyDescent="0.2">
      <c r="A104" s="5">
        <f t="shared" si="32"/>
        <v>98</v>
      </c>
      <c r="B104" s="5"/>
      <c r="C104" s="5"/>
      <c r="E104" s="4"/>
      <c r="F104" s="4"/>
      <c r="G104" s="4" t="str">
        <f t="shared" si="31"/>
        <v>_</v>
      </c>
      <c r="H104" s="4"/>
      <c r="K104" s="4"/>
      <c r="L104" s="4"/>
      <c r="M104" s="4"/>
      <c r="N104" s="4"/>
      <c r="R104" s="6"/>
      <c r="S104" s="6"/>
      <c r="T104" s="6"/>
      <c r="U104" s="6"/>
      <c r="V104" s="4"/>
      <c r="W104" s="4"/>
      <c r="X104" s="4"/>
      <c r="AA104" s="9" t="e">
        <f t="shared" si="39"/>
        <v>#DIV/0!</v>
      </c>
      <c r="AB104" s="9" t="e">
        <f t="shared" si="40"/>
        <v>#DIV/0!</v>
      </c>
      <c r="AE104" s="7" t="e">
        <f t="shared" si="33"/>
        <v>#DIV/0!</v>
      </c>
      <c r="AF104" s="7" t="e">
        <f t="shared" si="34"/>
        <v>#DIV/0!</v>
      </c>
      <c r="AG104" s="7">
        <f t="shared" si="41"/>
        <v>0</v>
      </c>
      <c r="AH104" s="7">
        <f t="shared" si="42"/>
        <v>0</v>
      </c>
      <c r="AI104" s="7" t="e">
        <f t="shared" si="35"/>
        <v>#DIV/0!</v>
      </c>
      <c r="AJ104" s="7" t="e">
        <f t="shared" si="36"/>
        <v>#DIV/0!</v>
      </c>
      <c r="AK104" s="7" t="e">
        <f t="shared" si="37"/>
        <v>#DIV/0!</v>
      </c>
      <c r="AL104" s="7" t="e">
        <f t="shared" si="38"/>
        <v>#DIV/0!</v>
      </c>
    </row>
    <row r="105" spans="1:38" s="3" customFormat="1" ht="17" customHeight="1" x14ac:dyDescent="0.2">
      <c r="A105" s="5">
        <f t="shared" si="32"/>
        <v>99</v>
      </c>
      <c r="B105" s="5"/>
      <c r="C105" s="5"/>
      <c r="E105" s="4"/>
      <c r="F105" s="4"/>
      <c r="G105" s="4" t="str">
        <f t="shared" si="31"/>
        <v>_</v>
      </c>
      <c r="H105" s="4"/>
      <c r="K105" s="4"/>
      <c r="L105" s="4"/>
      <c r="M105" s="4"/>
      <c r="N105" s="4"/>
      <c r="R105" s="6"/>
      <c r="S105" s="6"/>
      <c r="T105" s="6"/>
      <c r="U105" s="6"/>
      <c r="V105" s="4"/>
      <c r="W105" s="4"/>
      <c r="X105" s="4"/>
      <c r="AA105" s="9" t="e">
        <f t="shared" si="39"/>
        <v>#DIV/0!</v>
      </c>
      <c r="AB105" s="9" t="e">
        <f t="shared" si="40"/>
        <v>#DIV/0!</v>
      </c>
      <c r="AE105" s="7" t="e">
        <f t="shared" si="33"/>
        <v>#DIV/0!</v>
      </c>
      <c r="AF105" s="7" t="e">
        <f t="shared" si="34"/>
        <v>#DIV/0!</v>
      </c>
      <c r="AG105" s="7">
        <f t="shared" si="41"/>
        <v>0</v>
      </c>
      <c r="AH105" s="7">
        <f t="shared" si="42"/>
        <v>0</v>
      </c>
      <c r="AI105" s="7" t="e">
        <f t="shared" si="35"/>
        <v>#DIV/0!</v>
      </c>
      <c r="AJ105" s="7" t="e">
        <f t="shared" si="36"/>
        <v>#DIV/0!</v>
      </c>
      <c r="AK105" s="7" t="e">
        <f t="shared" si="37"/>
        <v>#DIV/0!</v>
      </c>
      <c r="AL105" s="7" t="e">
        <f t="shared" si="38"/>
        <v>#DIV/0!</v>
      </c>
    </row>
    <row r="106" spans="1:38" s="3" customFormat="1" ht="17" customHeight="1" x14ac:dyDescent="0.2">
      <c r="A106" s="5">
        <f t="shared" si="32"/>
        <v>100</v>
      </c>
      <c r="B106" s="5"/>
      <c r="C106" s="5"/>
      <c r="E106" s="4"/>
      <c r="F106" s="4"/>
      <c r="G106" s="4" t="str">
        <f t="shared" si="31"/>
        <v>_</v>
      </c>
      <c r="H106" s="4"/>
      <c r="K106" s="4"/>
      <c r="L106" s="4"/>
      <c r="M106" s="4"/>
      <c r="N106" s="4"/>
      <c r="R106" s="6"/>
      <c r="S106" s="6"/>
      <c r="T106" s="6"/>
      <c r="U106" s="6"/>
      <c r="V106" s="4"/>
      <c r="W106" s="4"/>
      <c r="X106" s="4"/>
      <c r="AA106" s="9" t="e">
        <f t="shared" si="39"/>
        <v>#DIV/0!</v>
      </c>
      <c r="AB106" s="9" t="e">
        <f t="shared" si="40"/>
        <v>#DIV/0!</v>
      </c>
      <c r="AE106" s="7" t="e">
        <f t="shared" si="33"/>
        <v>#DIV/0!</v>
      </c>
      <c r="AF106" s="7" t="e">
        <f t="shared" si="34"/>
        <v>#DIV/0!</v>
      </c>
      <c r="AG106" s="7">
        <f t="shared" si="41"/>
        <v>0</v>
      </c>
      <c r="AH106" s="7">
        <f t="shared" si="42"/>
        <v>0</v>
      </c>
      <c r="AI106" s="7" t="e">
        <f t="shared" si="35"/>
        <v>#DIV/0!</v>
      </c>
      <c r="AJ106" s="7" t="e">
        <f t="shared" si="36"/>
        <v>#DIV/0!</v>
      </c>
      <c r="AK106" s="7" t="e">
        <f t="shared" si="37"/>
        <v>#DIV/0!</v>
      </c>
      <c r="AL106" s="7" t="e">
        <f t="shared" si="38"/>
        <v>#DIV/0!</v>
      </c>
    </row>
    <row r="107" spans="1:38" s="3" customFormat="1" ht="17" customHeight="1" x14ac:dyDescent="0.2">
      <c r="A107" s="5">
        <f t="shared" si="32"/>
        <v>101</v>
      </c>
      <c r="B107" s="5"/>
      <c r="C107" s="5"/>
      <c r="E107" s="4"/>
      <c r="F107" s="4"/>
      <c r="G107" s="4" t="str">
        <f t="shared" si="31"/>
        <v>_</v>
      </c>
      <c r="H107" s="4"/>
      <c r="K107" s="4"/>
      <c r="L107" s="4"/>
      <c r="M107" s="4"/>
      <c r="N107" s="4"/>
      <c r="R107" s="6"/>
      <c r="S107" s="6"/>
      <c r="T107" s="6"/>
      <c r="U107" s="6"/>
      <c r="V107" s="4"/>
      <c r="W107" s="4"/>
      <c r="X107" s="4"/>
      <c r="AA107" s="9" t="e">
        <f t="shared" si="39"/>
        <v>#DIV/0!</v>
      </c>
      <c r="AB107" s="9" t="e">
        <f t="shared" si="40"/>
        <v>#DIV/0!</v>
      </c>
      <c r="AE107" s="7" t="e">
        <f t="shared" si="33"/>
        <v>#DIV/0!</v>
      </c>
      <c r="AF107" s="7" t="e">
        <f t="shared" si="34"/>
        <v>#DIV/0!</v>
      </c>
      <c r="AG107" s="7">
        <f t="shared" si="41"/>
        <v>0</v>
      </c>
      <c r="AH107" s="7">
        <f t="shared" si="42"/>
        <v>0</v>
      </c>
      <c r="AI107" s="7" t="e">
        <f t="shared" si="35"/>
        <v>#DIV/0!</v>
      </c>
      <c r="AJ107" s="7" t="e">
        <f t="shared" si="36"/>
        <v>#DIV/0!</v>
      </c>
      <c r="AK107" s="7" t="e">
        <f t="shared" si="37"/>
        <v>#DIV/0!</v>
      </c>
      <c r="AL107" s="7" t="e">
        <f t="shared" si="38"/>
        <v>#DIV/0!</v>
      </c>
    </row>
    <row r="108" spans="1:38" s="3" customFormat="1" ht="17" customHeight="1" x14ac:dyDescent="0.2">
      <c r="A108" s="5">
        <f t="shared" si="32"/>
        <v>102</v>
      </c>
      <c r="B108" s="5"/>
      <c r="C108" s="5"/>
      <c r="E108" s="4"/>
      <c r="F108" s="4"/>
      <c r="G108" s="4" t="str">
        <f t="shared" si="31"/>
        <v>_</v>
      </c>
      <c r="H108" s="4"/>
      <c r="K108" s="4"/>
      <c r="L108" s="4"/>
      <c r="M108" s="4"/>
      <c r="N108" s="4"/>
      <c r="R108" s="6"/>
      <c r="S108" s="6"/>
      <c r="T108" s="6"/>
      <c r="U108" s="6"/>
      <c r="V108" s="4"/>
      <c r="W108" s="4"/>
      <c r="X108" s="4"/>
      <c r="AA108" s="9" t="e">
        <f t="shared" si="39"/>
        <v>#DIV/0!</v>
      </c>
      <c r="AB108" s="9" t="e">
        <f t="shared" si="40"/>
        <v>#DIV/0!</v>
      </c>
      <c r="AE108" s="7" t="e">
        <f t="shared" si="33"/>
        <v>#DIV/0!</v>
      </c>
      <c r="AF108" s="7" t="e">
        <f t="shared" si="34"/>
        <v>#DIV/0!</v>
      </c>
      <c r="AG108" s="7">
        <f t="shared" si="41"/>
        <v>0</v>
      </c>
      <c r="AH108" s="7">
        <f t="shared" si="42"/>
        <v>0</v>
      </c>
      <c r="AI108" s="7" t="e">
        <f t="shared" si="35"/>
        <v>#DIV/0!</v>
      </c>
      <c r="AJ108" s="7" t="e">
        <f t="shared" si="36"/>
        <v>#DIV/0!</v>
      </c>
      <c r="AK108" s="7" t="e">
        <f t="shared" si="37"/>
        <v>#DIV/0!</v>
      </c>
      <c r="AL108" s="7" t="e">
        <f t="shared" si="38"/>
        <v>#DIV/0!</v>
      </c>
    </row>
    <row r="109" spans="1:38" s="3" customFormat="1" ht="17" customHeight="1" x14ac:dyDescent="0.2">
      <c r="A109" s="5">
        <f t="shared" si="32"/>
        <v>103</v>
      </c>
      <c r="B109" s="5"/>
      <c r="C109" s="5"/>
      <c r="E109" s="4"/>
      <c r="F109" s="4"/>
      <c r="G109" s="4" t="str">
        <f t="shared" si="31"/>
        <v>_</v>
      </c>
      <c r="H109" s="4"/>
      <c r="K109" s="4"/>
      <c r="L109" s="4"/>
      <c r="M109" s="4"/>
      <c r="N109" s="4"/>
      <c r="R109" s="6"/>
      <c r="S109" s="6"/>
      <c r="T109" s="6"/>
      <c r="U109" s="6"/>
      <c r="V109" s="4"/>
      <c r="W109" s="4"/>
      <c r="X109" s="4"/>
      <c r="AA109" s="9" t="e">
        <f t="shared" si="39"/>
        <v>#DIV/0!</v>
      </c>
      <c r="AB109" s="9" t="e">
        <f t="shared" si="40"/>
        <v>#DIV/0!</v>
      </c>
      <c r="AE109" s="7" t="e">
        <f t="shared" si="33"/>
        <v>#DIV/0!</v>
      </c>
      <c r="AF109" s="7" t="e">
        <f t="shared" si="34"/>
        <v>#DIV/0!</v>
      </c>
      <c r="AG109" s="7">
        <f t="shared" si="41"/>
        <v>0</v>
      </c>
      <c r="AH109" s="7">
        <f t="shared" si="42"/>
        <v>0</v>
      </c>
      <c r="AI109" s="7" t="e">
        <f t="shared" si="35"/>
        <v>#DIV/0!</v>
      </c>
      <c r="AJ109" s="7" t="e">
        <f t="shared" si="36"/>
        <v>#DIV/0!</v>
      </c>
      <c r="AK109" s="7" t="e">
        <f t="shared" si="37"/>
        <v>#DIV/0!</v>
      </c>
      <c r="AL109" s="7" t="e">
        <f t="shared" si="38"/>
        <v>#DIV/0!</v>
      </c>
    </row>
    <row r="110" spans="1:38" s="3" customFormat="1" ht="17" customHeight="1" x14ac:dyDescent="0.2">
      <c r="A110" s="5">
        <f t="shared" si="32"/>
        <v>104</v>
      </c>
      <c r="B110" s="5"/>
      <c r="C110" s="5"/>
      <c r="E110" s="4"/>
      <c r="F110" s="4"/>
      <c r="G110" s="4" t="str">
        <f t="shared" si="31"/>
        <v>_</v>
      </c>
      <c r="H110" s="4"/>
      <c r="K110" s="4"/>
      <c r="L110" s="4"/>
      <c r="M110" s="4"/>
      <c r="N110" s="4"/>
      <c r="R110" s="6"/>
      <c r="S110" s="6"/>
      <c r="T110" s="6"/>
      <c r="U110" s="6"/>
      <c r="V110" s="4"/>
      <c r="W110" s="4"/>
      <c r="X110" s="4"/>
      <c r="AA110" s="9" t="e">
        <f t="shared" si="39"/>
        <v>#DIV/0!</v>
      </c>
      <c r="AB110" s="9" t="e">
        <f t="shared" si="40"/>
        <v>#DIV/0!</v>
      </c>
      <c r="AE110" s="7" t="e">
        <f t="shared" si="33"/>
        <v>#DIV/0!</v>
      </c>
      <c r="AF110" s="7" t="e">
        <f t="shared" si="34"/>
        <v>#DIV/0!</v>
      </c>
      <c r="AG110" s="7">
        <f t="shared" si="41"/>
        <v>0</v>
      </c>
      <c r="AH110" s="7">
        <f t="shared" si="42"/>
        <v>0</v>
      </c>
      <c r="AI110" s="7" t="e">
        <f t="shared" si="35"/>
        <v>#DIV/0!</v>
      </c>
      <c r="AJ110" s="7" t="e">
        <f t="shared" si="36"/>
        <v>#DIV/0!</v>
      </c>
      <c r="AK110" s="7" t="e">
        <f t="shared" si="37"/>
        <v>#DIV/0!</v>
      </c>
      <c r="AL110" s="7" t="e">
        <f t="shared" si="38"/>
        <v>#DIV/0!</v>
      </c>
    </row>
    <row r="111" spans="1:38" s="3" customFormat="1" ht="17" customHeight="1" x14ac:dyDescent="0.2">
      <c r="A111" s="5">
        <f t="shared" si="32"/>
        <v>105</v>
      </c>
      <c r="B111" s="5"/>
      <c r="C111" s="5"/>
      <c r="E111" s="4"/>
      <c r="F111" s="4"/>
      <c r="G111" s="4" t="str">
        <f t="shared" si="31"/>
        <v>_</v>
      </c>
      <c r="H111" s="4"/>
      <c r="K111" s="4"/>
      <c r="L111" s="4"/>
      <c r="M111" s="4"/>
      <c r="N111" s="4"/>
      <c r="R111" s="6"/>
      <c r="S111" s="6"/>
      <c r="T111" s="6"/>
      <c r="U111" s="6"/>
      <c r="V111" s="4"/>
      <c r="W111" s="4"/>
      <c r="X111" s="4"/>
      <c r="AA111" s="9" t="e">
        <f t="shared" si="39"/>
        <v>#DIV/0!</v>
      </c>
      <c r="AB111" s="9" t="e">
        <f t="shared" si="40"/>
        <v>#DIV/0!</v>
      </c>
      <c r="AE111" s="7" t="e">
        <f t="shared" si="33"/>
        <v>#DIV/0!</v>
      </c>
      <c r="AF111" s="7" t="e">
        <f t="shared" si="34"/>
        <v>#DIV/0!</v>
      </c>
      <c r="AG111" s="7">
        <f t="shared" si="41"/>
        <v>0</v>
      </c>
      <c r="AH111" s="7">
        <f t="shared" si="42"/>
        <v>0</v>
      </c>
      <c r="AI111" s="7" t="e">
        <f t="shared" si="35"/>
        <v>#DIV/0!</v>
      </c>
      <c r="AJ111" s="7" t="e">
        <f t="shared" si="36"/>
        <v>#DIV/0!</v>
      </c>
      <c r="AK111" s="7" t="e">
        <f t="shared" si="37"/>
        <v>#DIV/0!</v>
      </c>
      <c r="AL111" s="7" t="e">
        <f t="shared" si="38"/>
        <v>#DIV/0!</v>
      </c>
    </row>
    <row r="112" spans="1:38" s="3" customFormat="1" ht="17" customHeight="1" x14ac:dyDescent="0.2">
      <c r="A112" s="5">
        <f t="shared" si="32"/>
        <v>106</v>
      </c>
      <c r="B112" s="5"/>
      <c r="C112" s="5"/>
      <c r="E112" s="4"/>
      <c r="F112" s="4"/>
      <c r="G112" s="4" t="str">
        <f t="shared" si="31"/>
        <v>_</v>
      </c>
      <c r="H112" s="4"/>
      <c r="K112" s="4"/>
      <c r="L112" s="4"/>
      <c r="M112" s="4"/>
      <c r="N112" s="4"/>
      <c r="R112" s="6"/>
      <c r="S112" s="6"/>
      <c r="T112" s="6"/>
      <c r="U112" s="6"/>
      <c r="V112" s="4"/>
      <c r="W112" s="4"/>
      <c r="X112" s="4"/>
      <c r="AA112" s="9" t="e">
        <f t="shared" si="39"/>
        <v>#DIV/0!</v>
      </c>
      <c r="AB112" s="9" t="e">
        <f t="shared" si="40"/>
        <v>#DIV/0!</v>
      </c>
      <c r="AE112" s="7" t="e">
        <f t="shared" si="33"/>
        <v>#DIV/0!</v>
      </c>
      <c r="AF112" s="7" t="e">
        <f t="shared" si="34"/>
        <v>#DIV/0!</v>
      </c>
      <c r="AG112" s="7">
        <f t="shared" si="41"/>
        <v>0</v>
      </c>
      <c r="AH112" s="7">
        <f t="shared" si="42"/>
        <v>0</v>
      </c>
      <c r="AI112" s="7" t="e">
        <f t="shared" si="35"/>
        <v>#DIV/0!</v>
      </c>
      <c r="AJ112" s="7" t="e">
        <f t="shared" si="36"/>
        <v>#DIV/0!</v>
      </c>
      <c r="AK112" s="7" t="e">
        <f t="shared" si="37"/>
        <v>#DIV/0!</v>
      </c>
      <c r="AL112" s="7" t="e">
        <f t="shared" si="38"/>
        <v>#DIV/0!</v>
      </c>
    </row>
    <row r="113" spans="1:38" s="3" customFormat="1" ht="17" customHeight="1" x14ac:dyDescent="0.2">
      <c r="A113" s="5">
        <f t="shared" si="32"/>
        <v>107</v>
      </c>
      <c r="B113" s="5"/>
      <c r="C113" s="5"/>
      <c r="E113" s="4"/>
      <c r="F113" s="4"/>
      <c r="G113" s="4" t="str">
        <f t="shared" si="31"/>
        <v>_</v>
      </c>
      <c r="H113" s="4"/>
      <c r="K113" s="4"/>
      <c r="L113" s="4"/>
      <c r="M113" s="4"/>
      <c r="N113" s="4"/>
      <c r="R113" s="6"/>
      <c r="S113" s="6"/>
      <c r="T113" s="6"/>
      <c r="U113" s="6"/>
      <c r="V113" s="4"/>
      <c r="W113" s="4"/>
      <c r="X113" s="4"/>
      <c r="AA113" s="9" t="e">
        <f t="shared" si="39"/>
        <v>#DIV/0!</v>
      </c>
      <c r="AB113" s="9" t="e">
        <f t="shared" si="40"/>
        <v>#DIV/0!</v>
      </c>
      <c r="AE113" s="7" t="e">
        <f t="shared" si="33"/>
        <v>#DIV/0!</v>
      </c>
      <c r="AF113" s="7" t="e">
        <f t="shared" si="34"/>
        <v>#DIV/0!</v>
      </c>
      <c r="AG113" s="7">
        <f t="shared" si="41"/>
        <v>0</v>
      </c>
      <c r="AH113" s="7">
        <f t="shared" si="42"/>
        <v>0</v>
      </c>
      <c r="AI113" s="7" t="e">
        <f t="shared" si="35"/>
        <v>#DIV/0!</v>
      </c>
      <c r="AJ113" s="7" t="e">
        <f t="shared" si="36"/>
        <v>#DIV/0!</v>
      </c>
      <c r="AK113" s="7" t="e">
        <f t="shared" si="37"/>
        <v>#DIV/0!</v>
      </c>
      <c r="AL113" s="7" t="e">
        <f t="shared" si="38"/>
        <v>#DIV/0!</v>
      </c>
    </row>
    <row r="114" spans="1:38" s="3" customFormat="1" ht="17" customHeight="1" x14ac:dyDescent="0.2">
      <c r="A114" s="5">
        <f t="shared" si="32"/>
        <v>108</v>
      </c>
      <c r="B114" s="5"/>
      <c r="C114" s="5"/>
      <c r="E114" s="4"/>
      <c r="F114" s="4"/>
      <c r="G114" s="4" t="str">
        <f t="shared" si="31"/>
        <v>_</v>
      </c>
      <c r="H114" s="4"/>
      <c r="K114" s="4"/>
      <c r="L114" s="4"/>
      <c r="M114" s="4"/>
      <c r="N114" s="4"/>
      <c r="R114" s="6"/>
      <c r="S114" s="6"/>
      <c r="T114" s="6"/>
      <c r="U114" s="6"/>
      <c r="V114" s="4"/>
      <c r="W114" s="4"/>
      <c r="X114" s="4"/>
      <c r="AA114" s="9" t="e">
        <f t="shared" si="39"/>
        <v>#DIV/0!</v>
      </c>
      <c r="AB114" s="9" t="e">
        <f t="shared" si="40"/>
        <v>#DIV/0!</v>
      </c>
      <c r="AE114" s="7" t="e">
        <f t="shared" si="33"/>
        <v>#DIV/0!</v>
      </c>
      <c r="AF114" s="7" t="e">
        <f t="shared" si="34"/>
        <v>#DIV/0!</v>
      </c>
      <c r="AG114" s="7">
        <f t="shared" si="41"/>
        <v>0</v>
      </c>
      <c r="AH114" s="7">
        <f t="shared" si="42"/>
        <v>0</v>
      </c>
      <c r="AI114" s="7" t="e">
        <f t="shared" si="35"/>
        <v>#DIV/0!</v>
      </c>
      <c r="AJ114" s="7" t="e">
        <f t="shared" si="36"/>
        <v>#DIV/0!</v>
      </c>
      <c r="AK114" s="7" t="e">
        <f t="shared" si="37"/>
        <v>#DIV/0!</v>
      </c>
      <c r="AL114" s="7" t="e">
        <f t="shared" si="38"/>
        <v>#DIV/0!</v>
      </c>
    </row>
    <row r="115" spans="1:38" s="3" customFormat="1" ht="17" customHeight="1" x14ac:dyDescent="0.2">
      <c r="A115" s="5">
        <f t="shared" si="32"/>
        <v>109</v>
      </c>
      <c r="B115" s="5"/>
      <c r="C115" s="5"/>
      <c r="E115" s="4"/>
      <c r="F115" s="4"/>
      <c r="G115" s="4" t="str">
        <f t="shared" si="31"/>
        <v>_</v>
      </c>
      <c r="H115" s="4"/>
      <c r="K115" s="4"/>
      <c r="L115" s="4"/>
      <c r="M115" s="4"/>
      <c r="N115" s="4"/>
      <c r="R115" s="6"/>
      <c r="S115" s="6"/>
      <c r="T115" s="6"/>
      <c r="U115" s="6"/>
      <c r="V115" s="4"/>
      <c r="W115" s="4"/>
      <c r="X115" s="4"/>
      <c r="AA115" s="9" t="e">
        <f t="shared" si="39"/>
        <v>#DIV/0!</v>
      </c>
      <c r="AB115" s="9" t="e">
        <f t="shared" si="40"/>
        <v>#DIV/0!</v>
      </c>
      <c r="AE115" s="7" t="e">
        <f t="shared" si="33"/>
        <v>#DIV/0!</v>
      </c>
      <c r="AF115" s="7" t="e">
        <f t="shared" si="34"/>
        <v>#DIV/0!</v>
      </c>
      <c r="AG115" s="7">
        <f t="shared" si="41"/>
        <v>0</v>
      </c>
      <c r="AH115" s="7">
        <f t="shared" si="42"/>
        <v>0</v>
      </c>
      <c r="AI115" s="7" t="e">
        <f t="shared" si="35"/>
        <v>#DIV/0!</v>
      </c>
      <c r="AJ115" s="7" t="e">
        <f t="shared" si="36"/>
        <v>#DIV/0!</v>
      </c>
      <c r="AK115" s="7" t="e">
        <f t="shared" si="37"/>
        <v>#DIV/0!</v>
      </c>
      <c r="AL115" s="7" t="e">
        <f t="shared" si="38"/>
        <v>#DIV/0!</v>
      </c>
    </row>
    <row r="116" spans="1:38" s="3" customFormat="1" ht="17" customHeight="1" x14ac:dyDescent="0.2">
      <c r="A116" s="5">
        <f t="shared" si="32"/>
        <v>110</v>
      </c>
      <c r="B116" s="5"/>
      <c r="C116" s="5"/>
      <c r="E116" s="4"/>
      <c r="F116" s="4"/>
      <c r="G116" s="4" t="str">
        <f t="shared" si="31"/>
        <v>_</v>
      </c>
      <c r="H116" s="4"/>
      <c r="K116" s="4"/>
      <c r="L116" s="4"/>
      <c r="M116" s="4"/>
      <c r="N116" s="4"/>
      <c r="R116" s="6"/>
      <c r="S116" s="6"/>
      <c r="T116" s="6"/>
      <c r="U116" s="6"/>
      <c r="V116" s="4"/>
      <c r="W116" s="4"/>
      <c r="X116" s="4"/>
      <c r="AA116" s="9" t="e">
        <f t="shared" si="39"/>
        <v>#DIV/0!</v>
      </c>
      <c r="AB116" s="9" t="e">
        <f t="shared" si="40"/>
        <v>#DIV/0!</v>
      </c>
      <c r="AE116" s="7" t="e">
        <f t="shared" si="33"/>
        <v>#DIV/0!</v>
      </c>
      <c r="AF116" s="7" t="e">
        <f t="shared" si="34"/>
        <v>#DIV/0!</v>
      </c>
      <c r="AG116" s="7">
        <f t="shared" si="41"/>
        <v>0</v>
      </c>
      <c r="AH116" s="7">
        <f t="shared" si="42"/>
        <v>0</v>
      </c>
      <c r="AI116" s="7" t="e">
        <f t="shared" si="35"/>
        <v>#DIV/0!</v>
      </c>
      <c r="AJ116" s="7" t="e">
        <f t="shared" si="36"/>
        <v>#DIV/0!</v>
      </c>
      <c r="AK116" s="7" t="e">
        <f t="shared" si="37"/>
        <v>#DIV/0!</v>
      </c>
      <c r="AL116" s="7" t="e">
        <f t="shared" si="38"/>
        <v>#DIV/0!</v>
      </c>
    </row>
    <row r="117" spans="1:38" s="3" customFormat="1" ht="17" customHeight="1" x14ac:dyDescent="0.2">
      <c r="A117" s="5">
        <f t="shared" si="32"/>
        <v>111</v>
      </c>
      <c r="B117" s="5"/>
      <c r="C117" s="5"/>
      <c r="E117" s="4"/>
      <c r="F117" s="4"/>
      <c r="G117" s="4" t="str">
        <f t="shared" si="31"/>
        <v>_</v>
      </c>
      <c r="H117" s="4"/>
      <c r="K117" s="4"/>
      <c r="L117" s="4"/>
      <c r="M117" s="4"/>
      <c r="N117" s="4"/>
      <c r="R117" s="6"/>
      <c r="S117" s="6"/>
      <c r="T117" s="6"/>
      <c r="U117" s="6"/>
      <c r="V117" s="4"/>
      <c r="W117" s="4"/>
      <c r="X117" s="4"/>
      <c r="AA117" s="9" t="e">
        <f t="shared" si="39"/>
        <v>#DIV/0!</v>
      </c>
      <c r="AB117" s="9" t="e">
        <f t="shared" si="40"/>
        <v>#DIV/0!</v>
      </c>
      <c r="AE117" s="7" t="e">
        <f t="shared" si="33"/>
        <v>#DIV/0!</v>
      </c>
      <c r="AF117" s="7" t="e">
        <f t="shared" si="34"/>
        <v>#DIV/0!</v>
      </c>
      <c r="AG117" s="7">
        <f t="shared" si="41"/>
        <v>0</v>
      </c>
      <c r="AH117" s="7">
        <f t="shared" si="42"/>
        <v>0</v>
      </c>
      <c r="AI117" s="7" t="e">
        <f t="shared" si="35"/>
        <v>#DIV/0!</v>
      </c>
      <c r="AJ117" s="7" t="e">
        <f t="shared" si="36"/>
        <v>#DIV/0!</v>
      </c>
      <c r="AK117" s="7" t="e">
        <f t="shared" si="37"/>
        <v>#DIV/0!</v>
      </c>
      <c r="AL117" s="7" t="e">
        <f t="shared" si="38"/>
        <v>#DIV/0!</v>
      </c>
    </row>
    <row r="118" spans="1:38" s="3" customFormat="1" ht="17" customHeight="1" x14ac:dyDescent="0.2">
      <c r="A118" s="5">
        <f t="shared" si="32"/>
        <v>112</v>
      </c>
      <c r="B118" s="5"/>
      <c r="C118" s="5"/>
      <c r="E118" s="4"/>
      <c r="F118" s="4"/>
      <c r="G118" s="4" t="str">
        <f t="shared" si="31"/>
        <v>_</v>
      </c>
      <c r="H118" s="4"/>
      <c r="K118" s="4"/>
      <c r="L118" s="4"/>
      <c r="M118" s="4"/>
      <c r="N118" s="4"/>
      <c r="R118" s="6"/>
      <c r="S118" s="6"/>
      <c r="T118" s="6"/>
      <c r="U118" s="6"/>
      <c r="V118" s="4"/>
      <c r="W118" s="4"/>
      <c r="X118" s="4"/>
      <c r="AA118" s="9" t="e">
        <f t="shared" si="39"/>
        <v>#DIV/0!</v>
      </c>
      <c r="AB118" s="9" t="e">
        <f t="shared" si="40"/>
        <v>#DIV/0!</v>
      </c>
      <c r="AE118" s="7" t="e">
        <f t="shared" si="33"/>
        <v>#DIV/0!</v>
      </c>
      <c r="AF118" s="7" t="e">
        <f t="shared" si="34"/>
        <v>#DIV/0!</v>
      </c>
      <c r="AG118" s="7">
        <f t="shared" si="41"/>
        <v>0</v>
      </c>
      <c r="AH118" s="7">
        <f t="shared" si="42"/>
        <v>0</v>
      </c>
      <c r="AI118" s="7" t="e">
        <f t="shared" si="35"/>
        <v>#DIV/0!</v>
      </c>
      <c r="AJ118" s="7" t="e">
        <f t="shared" si="36"/>
        <v>#DIV/0!</v>
      </c>
      <c r="AK118" s="7" t="e">
        <f t="shared" si="37"/>
        <v>#DIV/0!</v>
      </c>
      <c r="AL118" s="7" t="e">
        <f t="shared" si="38"/>
        <v>#DIV/0!</v>
      </c>
    </row>
    <row r="119" spans="1:38" s="3" customFormat="1" ht="17" customHeight="1" x14ac:dyDescent="0.2">
      <c r="A119" s="5">
        <f t="shared" si="32"/>
        <v>113</v>
      </c>
      <c r="B119" s="5"/>
      <c r="C119" s="5"/>
      <c r="E119" s="4"/>
      <c r="F119" s="4"/>
      <c r="G119" s="4" t="str">
        <f t="shared" si="31"/>
        <v>_</v>
      </c>
      <c r="H119" s="4"/>
      <c r="K119" s="4"/>
      <c r="L119" s="4"/>
      <c r="M119" s="4"/>
      <c r="N119" s="4"/>
      <c r="R119" s="6"/>
      <c r="S119" s="6"/>
      <c r="T119" s="6"/>
      <c r="U119" s="6"/>
      <c r="V119" s="4"/>
      <c r="W119" s="4"/>
      <c r="X119" s="4"/>
      <c r="AA119" s="9" t="e">
        <f t="shared" si="39"/>
        <v>#DIV/0!</v>
      </c>
      <c r="AB119" s="9" t="e">
        <f t="shared" si="40"/>
        <v>#DIV/0!</v>
      </c>
      <c r="AE119" s="7" t="e">
        <f t="shared" si="33"/>
        <v>#DIV/0!</v>
      </c>
      <c r="AF119" s="7" t="e">
        <f t="shared" si="34"/>
        <v>#DIV/0!</v>
      </c>
      <c r="AG119" s="7">
        <f t="shared" si="41"/>
        <v>0</v>
      </c>
      <c r="AH119" s="7">
        <f t="shared" si="42"/>
        <v>0</v>
      </c>
      <c r="AI119" s="7" t="e">
        <f t="shared" si="35"/>
        <v>#DIV/0!</v>
      </c>
      <c r="AJ119" s="7" t="e">
        <f t="shared" si="36"/>
        <v>#DIV/0!</v>
      </c>
      <c r="AK119" s="7" t="e">
        <f t="shared" si="37"/>
        <v>#DIV/0!</v>
      </c>
      <c r="AL119" s="7" t="e">
        <f t="shared" si="38"/>
        <v>#DIV/0!</v>
      </c>
    </row>
    <row r="120" spans="1:38" s="3" customFormat="1" ht="17" customHeight="1" x14ac:dyDescent="0.2">
      <c r="A120" s="5">
        <f t="shared" si="32"/>
        <v>114</v>
      </c>
      <c r="B120" s="5"/>
      <c r="C120" s="5"/>
      <c r="E120" s="4"/>
      <c r="F120" s="4"/>
      <c r="G120" s="4" t="str">
        <f t="shared" si="31"/>
        <v>_</v>
      </c>
      <c r="H120" s="4"/>
      <c r="K120" s="4"/>
      <c r="L120" s="4"/>
      <c r="M120" s="4"/>
      <c r="N120" s="4"/>
      <c r="R120" s="6"/>
      <c r="S120" s="6"/>
      <c r="T120" s="6"/>
      <c r="U120" s="6"/>
      <c r="V120" s="4"/>
      <c r="W120" s="4"/>
      <c r="X120" s="4"/>
      <c r="AA120" s="9" t="e">
        <f t="shared" si="39"/>
        <v>#DIV/0!</v>
      </c>
      <c r="AB120" s="9" t="e">
        <f t="shared" si="40"/>
        <v>#DIV/0!</v>
      </c>
      <c r="AE120" s="7" t="e">
        <f t="shared" si="33"/>
        <v>#DIV/0!</v>
      </c>
      <c r="AF120" s="7" t="e">
        <f t="shared" si="34"/>
        <v>#DIV/0!</v>
      </c>
      <c r="AG120" s="7">
        <f t="shared" si="41"/>
        <v>0</v>
      </c>
      <c r="AH120" s="7">
        <f t="shared" si="42"/>
        <v>0</v>
      </c>
      <c r="AI120" s="7" t="e">
        <f t="shared" si="35"/>
        <v>#DIV/0!</v>
      </c>
      <c r="AJ120" s="7" t="e">
        <f t="shared" si="36"/>
        <v>#DIV/0!</v>
      </c>
      <c r="AK120" s="7" t="e">
        <f t="shared" si="37"/>
        <v>#DIV/0!</v>
      </c>
      <c r="AL120" s="7" t="e">
        <f t="shared" si="38"/>
        <v>#DIV/0!</v>
      </c>
    </row>
    <row r="121" spans="1:38" s="3" customFormat="1" ht="17" customHeight="1" x14ac:dyDescent="0.2">
      <c r="A121" s="5">
        <f t="shared" si="32"/>
        <v>115</v>
      </c>
      <c r="B121" s="5"/>
      <c r="C121" s="5"/>
      <c r="E121" s="4"/>
      <c r="F121" s="4"/>
      <c r="G121" s="4" t="str">
        <f t="shared" si="31"/>
        <v>_</v>
      </c>
      <c r="H121" s="4"/>
      <c r="K121" s="4"/>
      <c r="L121" s="4"/>
      <c r="M121" s="4"/>
      <c r="N121" s="4"/>
      <c r="R121" s="6"/>
      <c r="S121" s="6"/>
      <c r="T121" s="6"/>
      <c r="U121" s="6"/>
      <c r="V121" s="4"/>
      <c r="W121" s="4"/>
      <c r="X121" s="4"/>
      <c r="AA121" s="9" t="e">
        <f t="shared" si="39"/>
        <v>#DIV/0!</v>
      </c>
      <c r="AB121" s="9" t="e">
        <f t="shared" si="40"/>
        <v>#DIV/0!</v>
      </c>
      <c r="AE121" s="7" t="e">
        <f t="shared" si="33"/>
        <v>#DIV/0!</v>
      </c>
      <c r="AF121" s="7" t="e">
        <f t="shared" si="34"/>
        <v>#DIV/0!</v>
      </c>
      <c r="AG121" s="7">
        <f t="shared" si="41"/>
        <v>0</v>
      </c>
      <c r="AH121" s="7">
        <f t="shared" si="42"/>
        <v>0</v>
      </c>
      <c r="AI121" s="7" t="e">
        <f t="shared" si="35"/>
        <v>#DIV/0!</v>
      </c>
      <c r="AJ121" s="7" t="e">
        <f t="shared" si="36"/>
        <v>#DIV/0!</v>
      </c>
      <c r="AK121" s="7" t="e">
        <f t="shared" si="37"/>
        <v>#DIV/0!</v>
      </c>
      <c r="AL121" s="7" t="e">
        <f t="shared" si="38"/>
        <v>#DIV/0!</v>
      </c>
    </row>
    <row r="122" spans="1:38" s="3" customFormat="1" ht="17" customHeight="1" x14ac:dyDescent="0.2">
      <c r="A122" s="5">
        <f t="shared" si="32"/>
        <v>116</v>
      </c>
      <c r="B122" s="5"/>
      <c r="C122" s="5"/>
      <c r="E122" s="4"/>
      <c r="F122" s="4"/>
      <c r="G122" s="4" t="str">
        <f t="shared" si="31"/>
        <v>_</v>
      </c>
      <c r="H122" s="4"/>
      <c r="K122" s="4"/>
      <c r="L122" s="4"/>
      <c r="M122" s="4"/>
      <c r="N122" s="4"/>
      <c r="R122" s="6"/>
      <c r="S122" s="6"/>
      <c r="T122" s="6"/>
      <c r="U122" s="6"/>
      <c r="V122" s="4"/>
      <c r="W122" s="4"/>
      <c r="X122" s="4"/>
      <c r="AA122" s="9" t="e">
        <f t="shared" si="39"/>
        <v>#DIV/0!</v>
      </c>
      <c r="AB122" s="9" t="e">
        <f t="shared" si="40"/>
        <v>#DIV/0!</v>
      </c>
      <c r="AE122" s="7" t="e">
        <f t="shared" si="33"/>
        <v>#DIV/0!</v>
      </c>
      <c r="AF122" s="7" t="e">
        <f t="shared" si="34"/>
        <v>#DIV/0!</v>
      </c>
      <c r="AG122" s="7">
        <f t="shared" si="41"/>
        <v>0</v>
      </c>
      <c r="AH122" s="7">
        <f t="shared" si="42"/>
        <v>0</v>
      </c>
      <c r="AI122" s="7" t="e">
        <f t="shared" si="35"/>
        <v>#DIV/0!</v>
      </c>
      <c r="AJ122" s="7" t="e">
        <f t="shared" si="36"/>
        <v>#DIV/0!</v>
      </c>
      <c r="AK122" s="7" t="e">
        <f t="shared" si="37"/>
        <v>#DIV/0!</v>
      </c>
      <c r="AL122" s="7" t="e">
        <f t="shared" si="38"/>
        <v>#DIV/0!</v>
      </c>
    </row>
    <row r="123" spans="1:38" s="3" customFormat="1" ht="17" customHeight="1" x14ac:dyDescent="0.2">
      <c r="A123" s="5">
        <f t="shared" si="32"/>
        <v>117</v>
      </c>
      <c r="B123" s="5"/>
      <c r="C123" s="5"/>
      <c r="E123" s="4"/>
      <c r="F123" s="4"/>
      <c r="G123" s="4" t="str">
        <f t="shared" si="31"/>
        <v>_</v>
      </c>
      <c r="H123" s="4"/>
      <c r="K123" s="4"/>
      <c r="L123" s="4"/>
      <c r="M123" s="4"/>
      <c r="N123" s="4"/>
      <c r="R123" s="6"/>
      <c r="S123" s="6"/>
      <c r="T123" s="6"/>
      <c r="U123" s="6"/>
      <c r="V123" s="4"/>
      <c r="W123" s="4"/>
      <c r="X123" s="4"/>
      <c r="AA123" s="9" t="e">
        <f t="shared" si="39"/>
        <v>#DIV/0!</v>
      </c>
      <c r="AB123" s="9" t="e">
        <f t="shared" si="40"/>
        <v>#DIV/0!</v>
      </c>
      <c r="AE123" s="7" t="e">
        <f t="shared" si="33"/>
        <v>#DIV/0!</v>
      </c>
      <c r="AF123" s="7" t="e">
        <f t="shared" si="34"/>
        <v>#DIV/0!</v>
      </c>
      <c r="AG123" s="7">
        <f t="shared" si="41"/>
        <v>0</v>
      </c>
      <c r="AH123" s="7">
        <f t="shared" si="42"/>
        <v>0</v>
      </c>
      <c r="AI123" s="7" t="e">
        <f t="shared" si="35"/>
        <v>#DIV/0!</v>
      </c>
      <c r="AJ123" s="7" t="e">
        <f t="shared" si="36"/>
        <v>#DIV/0!</v>
      </c>
      <c r="AK123" s="7" t="e">
        <f t="shared" si="37"/>
        <v>#DIV/0!</v>
      </c>
      <c r="AL123" s="7" t="e">
        <f t="shared" si="38"/>
        <v>#DIV/0!</v>
      </c>
    </row>
    <row r="124" spans="1:38" s="3" customFormat="1" ht="17" customHeight="1" x14ac:dyDescent="0.2">
      <c r="A124" s="5">
        <f t="shared" si="32"/>
        <v>118</v>
      </c>
      <c r="B124" s="5"/>
      <c r="C124" s="5"/>
      <c r="E124" s="4"/>
      <c r="F124" s="4"/>
      <c r="G124" s="4" t="str">
        <f t="shared" si="31"/>
        <v>_</v>
      </c>
      <c r="H124" s="4"/>
      <c r="K124" s="4"/>
      <c r="L124" s="4"/>
      <c r="M124" s="4"/>
      <c r="N124" s="4"/>
      <c r="R124" s="6"/>
      <c r="S124" s="6"/>
      <c r="T124" s="6"/>
      <c r="U124" s="6"/>
      <c r="V124" s="4"/>
      <c r="W124" s="4"/>
      <c r="X124" s="4"/>
      <c r="AA124" s="9" t="e">
        <f t="shared" si="39"/>
        <v>#DIV/0!</v>
      </c>
      <c r="AB124" s="9" t="e">
        <f t="shared" si="40"/>
        <v>#DIV/0!</v>
      </c>
      <c r="AE124" s="7" t="e">
        <f t="shared" si="33"/>
        <v>#DIV/0!</v>
      </c>
      <c r="AF124" s="7" t="e">
        <f t="shared" si="34"/>
        <v>#DIV/0!</v>
      </c>
      <c r="AG124" s="7">
        <f t="shared" si="41"/>
        <v>0</v>
      </c>
      <c r="AH124" s="7">
        <f t="shared" si="42"/>
        <v>0</v>
      </c>
      <c r="AI124" s="7" t="e">
        <f t="shared" si="35"/>
        <v>#DIV/0!</v>
      </c>
      <c r="AJ124" s="7" t="e">
        <f t="shared" si="36"/>
        <v>#DIV/0!</v>
      </c>
      <c r="AK124" s="7" t="e">
        <f t="shared" si="37"/>
        <v>#DIV/0!</v>
      </c>
      <c r="AL124" s="7" t="e">
        <f t="shared" si="38"/>
        <v>#DIV/0!</v>
      </c>
    </row>
    <row r="125" spans="1:38" s="3" customFormat="1" ht="17" customHeight="1" x14ac:dyDescent="0.2">
      <c r="A125" s="5">
        <f t="shared" si="32"/>
        <v>119</v>
      </c>
      <c r="B125" s="5"/>
      <c r="C125" s="5"/>
      <c r="E125" s="4"/>
      <c r="F125" s="4"/>
      <c r="G125" s="4" t="str">
        <f t="shared" si="31"/>
        <v>_</v>
      </c>
      <c r="H125" s="4"/>
      <c r="K125" s="4"/>
      <c r="L125" s="4"/>
      <c r="M125" s="4"/>
      <c r="N125" s="4"/>
      <c r="R125" s="6"/>
      <c r="S125" s="6"/>
      <c r="T125" s="6"/>
      <c r="U125" s="6"/>
      <c r="V125" s="4"/>
      <c r="W125" s="4"/>
      <c r="X125" s="4"/>
      <c r="AA125" s="9" t="e">
        <f t="shared" si="39"/>
        <v>#DIV/0!</v>
      </c>
      <c r="AB125" s="9" t="e">
        <f t="shared" si="40"/>
        <v>#DIV/0!</v>
      </c>
      <c r="AE125" s="7" t="e">
        <f t="shared" si="33"/>
        <v>#DIV/0!</v>
      </c>
      <c r="AF125" s="7" t="e">
        <f t="shared" si="34"/>
        <v>#DIV/0!</v>
      </c>
      <c r="AG125" s="7">
        <f t="shared" si="41"/>
        <v>0</v>
      </c>
      <c r="AH125" s="7">
        <f t="shared" si="42"/>
        <v>0</v>
      </c>
      <c r="AI125" s="7" t="e">
        <f t="shared" si="35"/>
        <v>#DIV/0!</v>
      </c>
      <c r="AJ125" s="7" t="e">
        <f t="shared" si="36"/>
        <v>#DIV/0!</v>
      </c>
      <c r="AK125" s="7" t="e">
        <f t="shared" si="37"/>
        <v>#DIV/0!</v>
      </c>
      <c r="AL125" s="7" t="e">
        <f t="shared" si="38"/>
        <v>#DIV/0!</v>
      </c>
    </row>
    <row r="126" spans="1:38" s="3" customFormat="1" ht="17" customHeight="1" x14ac:dyDescent="0.2">
      <c r="A126" s="5">
        <f t="shared" si="32"/>
        <v>120</v>
      </c>
      <c r="B126" s="5"/>
      <c r="C126" s="5"/>
      <c r="E126" s="4"/>
      <c r="F126" s="4"/>
      <c r="G126" s="4" t="str">
        <f t="shared" si="31"/>
        <v>_</v>
      </c>
      <c r="H126" s="4"/>
      <c r="K126" s="4"/>
      <c r="L126" s="4"/>
      <c r="M126" s="4"/>
      <c r="N126" s="4"/>
      <c r="R126" s="6"/>
      <c r="S126" s="6"/>
      <c r="T126" s="6"/>
      <c r="U126" s="6"/>
      <c r="V126" s="4"/>
      <c r="W126" s="4"/>
      <c r="X126" s="4"/>
      <c r="AA126" s="9" t="e">
        <f t="shared" si="39"/>
        <v>#DIV/0!</v>
      </c>
      <c r="AB126" s="9" t="e">
        <f t="shared" si="40"/>
        <v>#DIV/0!</v>
      </c>
      <c r="AE126" s="7" t="e">
        <f t="shared" si="33"/>
        <v>#DIV/0!</v>
      </c>
      <c r="AF126" s="7" t="e">
        <f t="shared" si="34"/>
        <v>#DIV/0!</v>
      </c>
      <c r="AG126" s="7">
        <f t="shared" si="41"/>
        <v>0</v>
      </c>
      <c r="AH126" s="7">
        <f t="shared" si="42"/>
        <v>0</v>
      </c>
      <c r="AI126" s="7" t="e">
        <f t="shared" si="35"/>
        <v>#DIV/0!</v>
      </c>
      <c r="AJ126" s="7" t="e">
        <f t="shared" si="36"/>
        <v>#DIV/0!</v>
      </c>
      <c r="AK126" s="7" t="e">
        <f t="shared" si="37"/>
        <v>#DIV/0!</v>
      </c>
      <c r="AL126" s="7" t="e">
        <f t="shared" si="38"/>
        <v>#DIV/0!</v>
      </c>
    </row>
    <row r="127" spans="1:38" s="3" customFormat="1" ht="17" customHeight="1" x14ac:dyDescent="0.2">
      <c r="A127" s="5">
        <f t="shared" si="32"/>
        <v>121</v>
      </c>
      <c r="B127" s="5"/>
      <c r="C127" s="5"/>
      <c r="E127" s="4"/>
      <c r="F127" s="4"/>
      <c r="G127" s="4" t="str">
        <f t="shared" si="31"/>
        <v>_</v>
      </c>
      <c r="H127" s="4"/>
      <c r="K127" s="4"/>
      <c r="L127" s="4"/>
      <c r="M127" s="4"/>
      <c r="N127" s="4"/>
      <c r="R127" s="6"/>
      <c r="S127" s="6"/>
      <c r="T127" s="6"/>
      <c r="U127" s="6"/>
      <c r="V127" s="4"/>
      <c r="W127" s="4"/>
      <c r="X127" s="4"/>
      <c r="AA127" s="9" t="e">
        <f t="shared" si="39"/>
        <v>#DIV/0!</v>
      </c>
      <c r="AB127" s="9" t="e">
        <f t="shared" si="40"/>
        <v>#DIV/0!</v>
      </c>
      <c r="AE127" s="7" t="e">
        <f t="shared" si="33"/>
        <v>#DIV/0!</v>
      </c>
      <c r="AF127" s="7" t="e">
        <f t="shared" si="34"/>
        <v>#DIV/0!</v>
      </c>
      <c r="AG127" s="7">
        <f t="shared" si="41"/>
        <v>0</v>
      </c>
      <c r="AH127" s="7">
        <f t="shared" si="42"/>
        <v>0</v>
      </c>
      <c r="AI127" s="7" t="e">
        <f t="shared" si="35"/>
        <v>#DIV/0!</v>
      </c>
      <c r="AJ127" s="7" t="e">
        <f t="shared" si="36"/>
        <v>#DIV/0!</v>
      </c>
      <c r="AK127" s="7" t="e">
        <f t="shared" si="37"/>
        <v>#DIV/0!</v>
      </c>
      <c r="AL127" s="7" t="e">
        <f t="shared" si="38"/>
        <v>#DIV/0!</v>
      </c>
    </row>
    <row r="128" spans="1:38" s="3" customFormat="1" ht="17" customHeight="1" x14ac:dyDescent="0.2">
      <c r="A128" s="5">
        <f t="shared" si="32"/>
        <v>122</v>
      </c>
      <c r="B128" s="5"/>
      <c r="C128" s="5"/>
      <c r="E128" s="4"/>
      <c r="F128" s="4"/>
      <c r="G128" s="4" t="str">
        <f t="shared" si="31"/>
        <v>_</v>
      </c>
      <c r="H128" s="4"/>
      <c r="K128" s="4"/>
      <c r="L128" s="4"/>
      <c r="M128" s="4"/>
      <c r="N128" s="4"/>
      <c r="R128" s="6"/>
      <c r="S128" s="6"/>
      <c r="T128" s="6"/>
      <c r="U128" s="6"/>
      <c r="V128" s="4"/>
      <c r="W128" s="4"/>
      <c r="X128" s="4"/>
      <c r="AA128" s="9" t="e">
        <f t="shared" si="39"/>
        <v>#DIV/0!</v>
      </c>
      <c r="AB128" s="9" t="e">
        <f t="shared" si="40"/>
        <v>#DIV/0!</v>
      </c>
      <c r="AE128" s="7" t="e">
        <f t="shared" si="33"/>
        <v>#DIV/0!</v>
      </c>
      <c r="AF128" s="7" t="e">
        <f t="shared" si="34"/>
        <v>#DIV/0!</v>
      </c>
      <c r="AG128" s="7">
        <f t="shared" si="41"/>
        <v>0</v>
      </c>
      <c r="AH128" s="7">
        <f t="shared" si="42"/>
        <v>0</v>
      </c>
      <c r="AI128" s="7" t="e">
        <f t="shared" si="35"/>
        <v>#DIV/0!</v>
      </c>
      <c r="AJ128" s="7" t="e">
        <f t="shared" si="36"/>
        <v>#DIV/0!</v>
      </c>
      <c r="AK128" s="7" t="e">
        <f t="shared" si="37"/>
        <v>#DIV/0!</v>
      </c>
      <c r="AL128" s="7" t="e">
        <f t="shared" si="38"/>
        <v>#DIV/0!</v>
      </c>
    </row>
    <row r="129" spans="1:38" s="3" customFormat="1" ht="17" customHeight="1" x14ac:dyDescent="0.2">
      <c r="A129" s="5">
        <f t="shared" si="32"/>
        <v>123</v>
      </c>
      <c r="B129" s="5"/>
      <c r="C129" s="5"/>
      <c r="E129" s="4"/>
      <c r="F129" s="4"/>
      <c r="G129" s="4" t="str">
        <f t="shared" si="31"/>
        <v>_</v>
      </c>
      <c r="H129" s="4"/>
      <c r="K129" s="4"/>
      <c r="L129" s="4"/>
      <c r="M129" s="4"/>
      <c r="N129" s="4"/>
      <c r="R129" s="6"/>
      <c r="S129" s="6"/>
      <c r="T129" s="6"/>
      <c r="U129" s="6"/>
      <c r="V129" s="4"/>
      <c r="W129" s="4"/>
      <c r="X129" s="4"/>
      <c r="AA129" s="9" t="e">
        <f t="shared" si="39"/>
        <v>#DIV/0!</v>
      </c>
      <c r="AB129" s="9" t="e">
        <f t="shared" si="40"/>
        <v>#DIV/0!</v>
      </c>
      <c r="AE129" s="7" t="e">
        <f t="shared" si="33"/>
        <v>#DIV/0!</v>
      </c>
      <c r="AF129" s="7" t="e">
        <f t="shared" si="34"/>
        <v>#DIV/0!</v>
      </c>
      <c r="AG129" s="7">
        <f t="shared" si="41"/>
        <v>0</v>
      </c>
      <c r="AH129" s="7">
        <f t="shared" si="42"/>
        <v>0</v>
      </c>
      <c r="AI129" s="7" t="e">
        <f t="shared" si="35"/>
        <v>#DIV/0!</v>
      </c>
      <c r="AJ129" s="7" t="e">
        <f t="shared" si="36"/>
        <v>#DIV/0!</v>
      </c>
      <c r="AK129" s="7" t="e">
        <f t="shared" si="37"/>
        <v>#DIV/0!</v>
      </c>
      <c r="AL129" s="7" t="e">
        <f t="shared" si="38"/>
        <v>#DIV/0!</v>
      </c>
    </row>
    <row r="130" spans="1:38" s="3" customFormat="1" ht="17" customHeight="1" x14ac:dyDescent="0.2">
      <c r="A130" s="5">
        <f t="shared" si="32"/>
        <v>124</v>
      </c>
      <c r="B130" s="5"/>
      <c r="C130" s="5"/>
      <c r="E130" s="4"/>
      <c r="F130" s="4"/>
      <c r="G130" s="4" t="str">
        <f t="shared" si="31"/>
        <v>_</v>
      </c>
      <c r="H130" s="4"/>
      <c r="K130" s="4"/>
      <c r="L130" s="4"/>
      <c r="M130" s="4"/>
      <c r="N130" s="4"/>
      <c r="R130" s="6"/>
      <c r="S130" s="6"/>
      <c r="T130" s="6"/>
      <c r="U130" s="6"/>
      <c r="V130" s="4"/>
      <c r="W130" s="4"/>
      <c r="X130" s="4"/>
      <c r="AA130" s="9" t="e">
        <f t="shared" si="39"/>
        <v>#DIV/0!</v>
      </c>
      <c r="AB130" s="9" t="e">
        <f t="shared" si="40"/>
        <v>#DIV/0!</v>
      </c>
      <c r="AE130" s="7" t="e">
        <f t="shared" si="33"/>
        <v>#DIV/0!</v>
      </c>
      <c r="AF130" s="7" t="e">
        <f t="shared" si="34"/>
        <v>#DIV/0!</v>
      </c>
      <c r="AG130" s="7">
        <f t="shared" si="41"/>
        <v>0</v>
      </c>
      <c r="AH130" s="7">
        <f t="shared" si="42"/>
        <v>0</v>
      </c>
      <c r="AI130" s="7" t="e">
        <f t="shared" si="35"/>
        <v>#DIV/0!</v>
      </c>
      <c r="AJ130" s="7" t="e">
        <f t="shared" si="36"/>
        <v>#DIV/0!</v>
      </c>
      <c r="AK130" s="7" t="e">
        <f t="shared" si="37"/>
        <v>#DIV/0!</v>
      </c>
      <c r="AL130" s="7" t="e">
        <f t="shared" si="38"/>
        <v>#DIV/0!</v>
      </c>
    </row>
    <row r="131" spans="1:38" s="3" customFormat="1" ht="17" customHeight="1" x14ac:dyDescent="0.2">
      <c r="A131" s="5">
        <f t="shared" si="32"/>
        <v>125</v>
      </c>
      <c r="B131" s="5"/>
      <c r="C131" s="5"/>
      <c r="E131" s="4"/>
      <c r="F131" s="4"/>
      <c r="G131" s="4" t="str">
        <f t="shared" si="31"/>
        <v>_</v>
      </c>
      <c r="H131" s="4"/>
      <c r="K131" s="4"/>
      <c r="L131" s="4"/>
      <c r="M131" s="4"/>
      <c r="N131" s="4"/>
      <c r="R131" s="6"/>
      <c r="S131" s="6"/>
      <c r="T131" s="6"/>
      <c r="U131" s="6"/>
      <c r="V131" s="4"/>
      <c r="W131" s="4"/>
      <c r="X131" s="4"/>
      <c r="AA131" s="9" t="e">
        <f t="shared" si="39"/>
        <v>#DIV/0!</v>
      </c>
      <c r="AB131" s="9" t="e">
        <f t="shared" si="40"/>
        <v>#DIV/0!</v>
      </c>
      <c r="AE131" s="7" t="e">
        <f t="shared" si="33"/>
        <v>#DIV/0!</v>
      </c>
      <c r="AF131" s="7" t="e">
        <f t="shared" si="34"/>
        <v>#DIV/0!</v>
      </c>
      <c r="AG131" s="7">
        <f t="shared" si="41"/>
        <v>0</v>
      </c>
      <c r="AH131" s="7">
        <f t="shared" si="42"/>
        <v>0</v>
      </c>
      <c r="AI131" s="7" t="e">
        <f t="shared" si="35"/>
        <v>#DIV/0!</v>
      </c>
      <c r="AJ131" s="7" t="e">
        <f t="shared" si="36"/>
        <v>#DIV/0!</v>
      </c>
      <c r="AK131" s="7" t="e">
        <f t="shared" si="37"/>
        <v>#DIV/0!</v>
      </c>
      <c r="AL131" s="7" t="e">
        <f t="shared" si="38"/>
        <v>#DIV/0!</v>
      </c>
    </row>
    <row r="132" spans="1:38" s="3" customFormat="1" ht="17" customHeight="1" x14ac:dyDescent="0.2">
      <c r="A132" s="5">
        <f t="shared" si="32"/>
        <v>126</v>
      </c>
      <c r="B132" s="5"/>
      <c r="C132" s="5"/>
      <c r="E132" s="4"/>
      <c r="F132" s="4"/>
      <c r="G132" s="4" t="str">
        <f t="shared" si="31"/>
        <v>_</v>
      </c>
      <c r="H132" s="4"/>
      <c r="K132" s="4"/>
      <c r="L132" s="4"/>
      <c r="M132" s="4"/>
      <c r="N132" s="4"/>
      <c r="R132" s="6"/>
      <c r="S132" s="6"/>
      <c r="T132" s="6"/>
      <c r="U132" s="6"/>
      <c r="V132" s="4"/>
      <c r="W132" s="4"/>
      <c r="X132" s="4"/>
      <c r="AA132" s="9" t="e">
        <f t="shared" ref="AA132:AA163" si="43">(1/1.249)*AI132+(1-(1/1.249))*AJ132</f>
        <v>#DIV/0!</v>
      </c>
      <c r="AB132" s="9" t="e">
        <f t="shared" ref="AB132:AB163" si="44">(1/1.249)*AK132+(1-(1/1.249))*AL132</f>
        <v>#DIV/0!</v>
      </c>
      <c r="AE132" s="7" t="e">
        <f t="shared" si="33"/>
        <v>#DIV/0!</v>
      </c>
      <c r="AF132" s="7" t="e">
        <f t="shared" si="34"/>
        <v>#DIV/0!</v>
      </c>
      <c r="AG132" s="7">
        <f t="shared" ref="AG132:AG163" si="45">(R132+T132)/2</f>
        <v>0</v>
      </c>
      <c r="AH132" s="7">
        <f t="shared" ref="AH132:AH163" si="46">(S132+U132)/4</f>
        <v>0</v>
      </c>
      <c r="AI132" s="7" t="e">
        <f t="shared" si="35"/>
        <v>#DIV/0!</v>
      </c>
      <c r="AJ132" s="7" t="e">
        <f t="shared" si="36"/>
        <v>#DIV/0!</v>
      </c>
      <c r="AK132" s="7" t="e">
        <f t="shared" si="37"/>
        <v>#DIV/0!</v>
      </c>
      <c r="AL132" s="7" t="e">
        <f t="shared" si="38"/>
        <v>#DIV/0!</v>
      </c>
    </row>
    <row r="133" spans="1:38" s="3" customFormat="1" ht="17" customHeight="1" x14ac:dyDescent="0.2">
      <c r="A133" s="5">
        <f t="shared" si="32"/>
        <v>127</v>
      </c>
      <c r="B133" s="5"/>
      <c r="C133" s="5"/>
      <c r="E133" s="4"/>
      <c r="F133" s="4"/>
      <c r="G133" s="4" t="str">
        <f t="shared" ref="G133:G188" si="47">CONCATENATE(E133,"_",F133)</f>
        <v>_</v>
      </c>
      <c r="H133" s="4"/>
      <c r="K133" s="4"/>
      <c r="L133" s="4"/>
      <c r="M133" s="4"/>
      <c r="N133" s="4"/>
      <c r="R133" s="6"/>
      <c r="S133" s="6"/>
      <c r="T133" s="6"/>
      <c r="U133" s="6"/>
      <c r="V133" s="4"/>
      <c r="W133" s="4"/>
      <c r="X133" s="4"/>
      <c r="AA133" s="9" t="e">
        <f t="shared" si="43"/>
        <v>#DIV/0!</v>
      </c>
      <c r="AB133" s="9" t="e">
        <f t="shared" si="44"/>
        <v>#DIV/0!</v>
      </c>
      <c r="AE133" s="7" t="e">
        <f t="shared" si="33"/>
        <v>#DIV/0!</v>
      </c>
      <c r="AF133" s="7" t="e">
        <f t="shared" si="34"/>
        <v>#DIV/0!</v>
      </c>
      <c r="AG133" s="7">
        <f t="shared" si="45"/>
        <v>0</v>
      </c>
      <c r="AH133" s="7">
        <f t="shared" si="46"/>
        <v>0</v>
      </c>
      <c r="AI133" s="7" t="e">
        <f t="shared" si="35"/>
        <v>#DIV/0!</v>
      </c>
      <c r="AJ133" s="7" t="e">
        <f t="shared" si="36"/>
        <v>#DIV/0!</v>
      </c>
      <c r="AK133" s="7" t="e">
        <f t="shared" si="37"/>
        <v>#DIV/0!</v>
      </c>
      <c r="AL133" s="7" t="e">
        <f t="shared" si="38"/>
        <v>#DIV/0!</v>
      </c>
    </row>
    <row r="134" spans="1:38" s="3" customFormat="1" ht="17" customHeight="1" x14ac:dyDescent="0.2">
      <c r="A134" s="5">
        <f t="shared" ref="A134:A188" si="48">A133+1</f>
        <v>128</v>
      </c>
      <c r="B134" s="5"/>
      <c r="C134" s="5"/>
      <c r="E134" s="4"/>
      <c r="F134" s="4"/>
      <c r="G134" s="4" t="str">
        <f t="shared" si="47"/>
        <v>_</v>
      </c>
      <c r="H134" s="4"/>
      <c r="K134" s="4"/>
      <c r="L134" s="4"/>
      <c r="M134" s="4"/>
      <c r="N134" s="4"/>
      <c r="R134" s="6"/>
      <c r="S134" s="6"/>
      <c r="T134" s="6"/>
      <c r="U134" s="6"/>
      <c r="V134" s="4"/>
      <c r="W134" s="4"/>
      <c r="X134" s="4"/>
      <c r="AA134" s="9" t="e">
        <f t="shared" si="43"/>
        <v>#DIV/0!</v>
      </c>
      <c r="AB134" s="9" t="e">
        <f t="shared" si="44"/>
        <v>#DIV/0!</v>
      </c>
      <c r="AE134" s="7" t="e">
        <f t="shared" ref="AE134:AE188" si="49">(2.31*AG134+2*AH134)/(AH134*AG134)</f>
        <v>#DIV/0!</v>
      </c>
      <c r="AF134" s="7" t="e">
        <f t="shared" ref="AF134:AF188" si="50">(4*AG134+4+AH134)/(AG134*2*AH134)</f>
        <v>#DIV/0!</v>
      </c>
      <c r="AG134" s="7">
        <f t="shared" si="45"/>
        <v>0</v>
      </c>
      <c r="AH134" s="7">
        <f t="shared" si="46"/>
        <v>0</v>
      </c>
      <c r="AI134" s="7" t="e">
        <f t="shared" ref="AI134:AI188" si="51">1+(-5.13)*AE134+(6.79)*AE134^2</f>
        <v>#DIV/0!</v>
      </c>
      <c r="AJ134" s="7" t="e">
        <f t="shared" ref="AJ134:AJ188" si="52">1+(-5.9)*AE134+8.99*AE134^2</f>
        <v>#DIV/0!</v>
      </c>
      <c r="AK134" s="7" t="e">
        <f t="shared" ref="AK134:AK188" si="53">1+(-4.31)*AF134+4.92*AF134^2</f>
        <v>#DIV/0!</v>
      </c>
      <c r="AL134" s="7" t="e">
        <f t="shared" ref="AL134:AL188" si="54">1+(-5)*AF134+6.8*AF134^2</f>
        <v>#DIV/0!</v>
      </c>
    </row>
    <row r="135" spans="1:38" s="3" customFormat="1" ht="17" customHeight="1" x14ac:dyDescent="0.2">
      <c r="A135" s="5">
        <f t="shared" si="48"/>
        <v>129</v>
      </c>
      <c r="B135" s="5"/>
      <c r="C135" s="5"/>
      <c r="E135" s="4"/>
      <c r="F135" s="4"/>
      <c r="G135" s="4" t="str">
        <f t="shared" si="47"/>
        <v>_</v>
      </c>
      <c r="H135" s="4"/>
      <c r="K135" s="4"/>
      <c r="L135" s="4"/>
      <c r="M135" s="4"/>
      <c r="N135" s="4"/>
      <c r="R135" s="6"/>
      <c r="S135" s="6"/>
      <c r="T135" s="6"/>
      <c r="U135" s="6"/>
      <c r="V135" s="4"/>
      <c r="W135" s="4"/>
      <c r="X135" s="4"/>
      <c r="AA135" s="9" t="e">
        <f t="shared" si="43"/>
        <v>#DIV/0!</v>
      </c>
      <c r="AB135" s="9" t="e">
        <f t="shared" si="44"/>
        <v>#DIV/0!</v>
      </c>
      <c r="AE135" s="7" t="e">
        <f t="shared" si="49"/>
        <v>#DIV/0!</v>
      </c>
      <c r="AF135" s="7" t="e">
        <f t="shared" si="50"/>
        <v>#DIV/0!</v>
      </c>
      <c r="AG135" s="7">
        <f t="shared" si="45"/>
        <v>0</v>
      </c>
      <c r="AH135" s="7">
        <f t="shared" si="46"/>
        <v>0</v>
      </c>
      <c r="AI135" s="7" t="e">
        <f t="shared" si="51"/>
        <v>#DIV/0!</v>
      </c>
      <c r="AJ135" s="7" t="e">
        <f t="shared" si="52"/>
        <v>#DIV/0!</v>
      </c>
      <c r="AK135" s="7" t="e">
        <f t="shared" si="53"/>
        <v>#DIV/0!</v>
      </c>
      <c r="AL135" s="7" t="e">
        <f t="shared" si="54"/>
        <v>#DIV/0!</v>
      </c>
    </row>
    <row r="136" spans="1:38" s="3" customFormat="1" ht="17" customHeight="1" x14ac:dyDescent="0.2">
      <c r="A136" s="5">
        <f t="shared" si="48"/>
        <v>130</v>
      </c>
      <c r="B136" s="5"/>
      <c r="C136" s="5"/>
      <c r="E136" s="4"/>
      <c r="F136" s="4"/>
      <c r="G136" s="4" t="str">
        <f t="shared" si="47"/>
        <v>_</v>
      </c>
      <c r="H136" s="4"/>
      <c r="K136" s="4"/>
      <c r="L136" s="4"/>
      <c r="M136" s="4"/>
      <c r="N136" s="4"/>
      <c r="R136" s="6"/>
      <c r="S136" s="6"/>
      <c r="T136" s="6"/>
      <c r="U136" s="6"/>
      <c r="V136" s="4"/>
      <c r="W136" s="4"/>
      <c r="X136" s="4"/>
      <c r="AA136" s="9" t="e">
        <f t="shared" si="43"/>
        <v>#DIV/0!</v>
      </c>
      <c r="AB136" s="9" t="e">
        <f t="shared" si="44"/>
        <v>#DIV/0!</v>
      </c>
      <c r="AE136" s="7" t="e">
        <f t="shared" si="49"/>
        <v>#DIV/0!</v>
      </c>
      <c r="AF136" s="7" t="e">
        <f t="shared" si="50"/>
        <v>#DIV/0!</v>
      </c>
      <c r="AG136" s="7">
        <f t="shared" si="45"/>
        <v>0</v>
      </c>
      <c r="AH136" s="7">
        <f t="shared" si="46"/>
        <v>0</v>
      </c>
      <c r="AI136" s="7" t="e">
        <f t="shared" si="51"/>
        <v>#DIV/0!</v>
      </c>
      <c r="AJ136" s="7" t="e">
        <f t="shared" si="52"/>
        <v>#DIV/0!</v>
      </c>
      <c r="AK136" s="7" t="e">
        <f t="shared" si="53"/>
        <v>#DIV/0!</v>
      </c>
      <c r="AL136" s="7" t="e">
        <f t="shared" si="54"/>
        <v>#DIV/0!</v>
      </c>
    </row>
    <row r="137" spans="1:38" s="3" customFormat="1" ht="17" customHeight="1" x14ac:dyDescent="0.2">
      <c r="A137" s="5">
        <f t="shared" si="48"/>
        <v>131</v>
      </c>
      <c r="B137" s="5"/>
      <c r="C137" s="5"/>
      <c r="E137" s="4"/>
      <c r="F137" s="4"/>
      <c r="G137" s="4" t="str">
        <f t="shared" si="47"/>
        <v>_</v>
      </c>
      <c r="H137" s="4"/>
      <c r="K137" s="4"/>
      <c r="L137" s="4"/>
      <c r="M137" s="4"/>
      <c r="N137" s="4"/>
      <c r="R137" s="6"/>
      <c r="S137" s="6"/>
      <c r="T137" s="6"/>
      <c r="U137" s="6"/>
      <c r="V137" s="4"/>
      <c r="W137" s="4"/>
      <c r="X137" s="4"/>
      <c r="AA137" s="9" t="e">
        <f t="shared" si="43"/>
        <v>#DIV/0!</v>
      </c>
      <c r="AB137" s="9" t="e">
        <f t="shared" si="44"/>
        <v>#DIV/0!</v>
      </c>
      <c r="AE137" s="7" t="e">
        <f t="shared" si="49"/>
        <v>#DIV/0!</v>
      </c>
      <c r="AF137" s="7" t="e">
        <f t="shared" si="50"/>
        <v>#DIV/0!</v>
      </c>
      <c r="AG137" s="7">
        <f t="shared" si="45"/>
        <v>0</v>
      </c>
      <c r="AH137" s="7">
        <f t="shared" si="46"/>
        <v>0</v>
      </c>
      <c r="AI137" s="7" t="e">
        <f t="shared" si="51"/>
        <v>#DIV/0!</v>
      </c>
      <c r="AJ137" s="7" t="e">
        <f t="shared" si="52"/>
        <v>#DIV/0!</v>
      </c>
      <c r="AK137" s="7" t="e">
        <f t="shared" si="53"/>
        <v>#DIV/0!</v>
      </c>
      <c r="AL137" s="7" t="e">
        <f t="shared" si="54"/>
        <v>#DIV/0!</v>
      </c>
    </row>
    <row r="138" spans="1:38" s="3" customFormat="1" ht="17" customHeight="1" x14ac:dyDescent="0.2">
      <c r="A138" s="5">
        <f t="shared" si="48"/>
        <v>132</v>
      </c>
      <c r="B138" s="5"/>
      <c r="C138" s="5"/>
      <c r="E138" s="4"/>
      <c r="F138" s="4"/>
      <c r="G138" s="4" t="str">
        <f t="shared" si="47"/>
        <v>_</v>
      </c>
      <c r="H138" s="4"/>
      <c r="K138" s="4"/>
      <c r="L138" s="4"/>
      <c r="M138" s="4"/>
      <c r="N138" s="4"/>
      <c r="R138" s="6"/>
      <c r="S138" s="6"/>
      <c r="T138" s="6"/>
      <c r="U138" s="6"/>
      <c r="V138" s="4"/>
      <c r="W138" s="4"/>
      <c r="X138" s="4"/>
      <c r="AA138" s="9" t="e">
        <f t="shared" si="43"/>
        <v>#DIV/0!</v>
      </c>
      <c r="AB138" s="9" t="e">
        <f t="shared" si="44"/>
        <v>#DIV/0!</v>
      </c>
      <c r="AE138" s="7" t="e">
        <f t="shared" si="49"/>
        <v>#DIV/0!</v>
      </c>
      <c r="AF138" s="7" t="e">
        <f t="shared" si="50"/>
        <v>#DIV/0!</v>
      </c>
      <c r="AG138" s="7">
        <f t="shared" si="45"/>
        <v>0</v>
      </c>
      <c r="AH138" s="7">
        <f t="shared" si="46"/>
        <v>0</v>
      </c>
      <c r="AI138" s="7" t="e">
        <f t="shared" si="51"/>
        <v>#DIV/0!</v>
      </c>
      <c r="AJ138" s="7" t="e">
        <f t="shared" si="52"/>
        <v>#DIV/0!</v>
      </c>
      <c r="AK138" s="7" t="e">
        <f t="shared" si="53"/>
        <v>#DIV/0!</v>
      </c>
      <c r="AL138" s="7" t="e">
        <f t="shared" si="54"/>
        <v>#DIV/0!</v>
      </c>
    </row>
    <row r="139" spans="1:38" s="3" customFormat="1" ht="17" customHeight="1" x14ac:dyDescent="0.2">
      <c r="A139" s="5">
        <f t="shared" si="48"/>
        <v>133</v>
      </c>
      <c r="B139" s="5"/>
      <c r="C139" s="5"/>
      <c r="E139" s="4"/>
      <c r="F139" s="4"/>
      <c r="G139" s="4" t="str">
        <f t="shared" si="47"/>
        <v>_</v>
      </c>
      <c r="H139" s="4"/>
      <c r="K139" s="4"/>
      <c r="L139" s="4"/>
      <c r="M139" s="4"/>
      <c r="N139" s="4"/>
      <c r="R139" s="6"/>
      <c r="S139" s="6"/>
      <c r="T139" s="6"/>
      <c r="U139" s="6"/>
      <c r="V139" s="4"/>
      <c r="W139" s="4"/>
      <c r="X139" s="4"/>
      <c r="AA139" s="9" t="e">
        <f t="shared" si="43"/>
        <v>#DIV/0!</v>
      </c>
      <c r="AB139" s="9" t="e">
        <f t="shared" si="44"/>
        <v>#DIV/0!</v>
      </c>
      <c r="AE139" s="7" t="e">
        <f t="shared" si="49"/>
        <v>#DIV/0!</v>
      </c>
      <c r="AF139" s="7" t="e">
        <f t="shared" si="50"/>
        <v>#DIV/0!</v>
      </c>
      <c r="AG139" s="7">
        <f t="shared" si="45"/>
        <v>0</v>
      </c>
      <c r="AH139" s="7">
        <f t="shared" si="46"/>
        <v>0</v>
      </c>
      <c r="AI139" s="7" t="e">
        <f t="shared" si="51"/>
        <v>#DIV/0!</v>
      </c>
      <c r="AJ139" s="7" t="e">
        <f t="shared" si="52"/>
        <v>#DIV/0!</v>
      </c>
      <c r="AK139" s="7" t="e">
        <f t="shared" si="53"/>
        <v>#DIV/0!</v>
      </c>
      <c r="AL139" s="7" t="e">
        <f t="shared" si="54"/>
        <v>#DIV/0!</v>
      </c>
    </row>
    <row r="140" spans="1:38" s="3" customFormat="1" ht="17" customHeight="1" x14ac:dyDescent="0.2">
      <c r="A140" s="5">
        <f t="shared" si="48"/>
        <v>134</v>
      </c>
      <c r="B140" s="5"/>
      <c r="C140" s="5"/>
      <c r="E140" s="4"/>
      <c r="F140" s="4"/>
      <c r="G140" s="4" t="str">
        <f t="shared" si="47"/>
        <v>_</v>
      </c>
      <c r="H140" s="4"/>
      <c r="K140" s="4"/>
      <c r="L140" s="4"/>
      <c r="M140" s="4"/>
      <c r="N140" s="4"/>
      <c r="R140" s="6"/>
      <c r="S140" s="6"/>
      <c r="T140" s="6"/>
      <c r="U140" s="6"/>
      <c r="V140" s="4"/>
      <c r="W140" s="4"/>
      <c r="X140" s="4"/>
      <c r="AA140" s="9" t="e">
        <f t="shared" si="43"/>
        <v>#DIV/0!</v>
      </c>
      <c r="AB140" s="9" t="e">
        <f t="shared" si="44"/>
        <v>#DIV/0!</v>
      </c>
      <c r="AE140" s="7" t="e">
        <f t="shared" si="49"/>
        <v>#DIV/0!</v>
      </c>
      <c r="AF140" s="7" t="e">
        <f t="shared" si="50"/>
        <v>#DIV/0!</v>
      </c>
      <c r="AG140" s="7">
        <f t="shared" si="45"/>
        <v>0</v>
      </c>
      <c r="AH140" s="7">
        <f t="shared" si="46"/>
        <v>0</v>
      </c>
      <c r="AI140" s="7" t="e">
        <f t="shared" si="51"/>
        <v>#DIV/0!</v>
      </c>
      <c r="AJ140" s="7" t="e">
        <f t="shared" si="52"/>
        <v>#DIV/0!</v>
      </c>
      <c r="AK140" s="7" t="e">
        <f t="shared" si="53"/>
        <v>#DIV/0!</v>
      </c>
      <c r="AL140" s="7" t="e">
        <f t="shared" si="54"/>
        <v>#DIV/0!</v>
      </c>
    </row>
    <row r="141" spans="1:38" s="3" customFormat="1" ht="17" customHeight="1" x14ac:dyDescent="0.2">
      <c r="A141" s="5">
        <f t="shared" si="48"/>
        <v>135</v>
      </c>
      <c r="B141" s="5"/>
      <c r="C141" s="5"/>
      <c r="E141" s="4"/>
      <c r="F141" s="4"/>
      <c r="G141" s="4" t="str">
        <f t="shared" si="47"/>
        <v>_</v>
      </c>
      <c r="H141" s="4"/>
      <c r="K141" s="4"/>
      <c r="L141" s="4"/>
      <c r="M141" s="4"/>
      <c r="N141" s="4"/>
      <c r="R141" s="6"/>
      <c r="S141" s="6"/>
      <c r="T141" s="6"/>
      <c r="U141" s="6"/>
      <c r="V141" s="4"/>
      <c r="W141" s="4"/>
      <c r="X141" s="4"/>
      <c r="AA141" s="9" t="e">
        <f t="shared" si="43"/>
        <v>#DIV/0!</v>
      </c>
      <c r="AB141" s="9" t="e">
        <f t="shared" si="44"/>
        <v>#DIV/0!</v>
      </c>
      <c r="AE141" s="7" t="e">
        <f t="shared" si="49"/>
        <v>#DIV/0!</v>
      </c>
      <c r="AF141" s="7" t="e">
        <f t="shared" si="50"/>
        <v>#DIV/0!</v>
      </c>
      <c r="AG141" s="7">
        <f t="shared" si="45"/>
        <v>0</v>
      </c>
      <c r="AH141" s="7">
        <f t="shared" si="46"/>
        <v>0</v>
      </c>
      <c r="AI141" s="7" t="e">
        <f t="shared" si="51"/>
        <v>#DIV/0!</v>
      </c>
      <c r="AJ141" s="7" t="e">
        <f t="shared" si="52"/>
        <v>#DIV/0!</v>
      </c>
      <c r="AK141" s="7" t="e">
        <f t="shared" si="53"/>
        <v>#DIV/0!</v>
      </c>
      <c r="AL141" s="7" t="e">
        <f t="shared" si="54"/>
        <v>#DIV/0!</v>
      </c>
    </row>
    <row r="142" spans="1:38" s="3" customFormat="1" ht="17" customHeight="1" x14ac:dyDescent="0.2">
      <c r="A142" s="5">
        <f t="shared" si="48"/>
        <v>136</v>
      </c>
      <c r="B142" s="5"/>
      <c r="C142" s="5"/>
      <c r="E142" s="4"/>
      <c r="F142" s="4"/>
      <c r="G142" s="4" t="str">
        <f t="shared" si="47"/>
        <v>_</v>
      </c>
      <c r="H142" s="4"/>
      <c r="K142" s="4"/>
      <c r="L142" s="4"/>
      <c r="M142" s="4"/>
      <c r="N142" s="4"/>
      <c r="R142" s="6"/>
      <c r="S142" s="6"/>
      <c r="T142" s="6"/>
      <c r="U142" s="6"/>
      <c r="V142" s="4"/>
      <c r="W142" s="4"/>
      <c r="X142" s="4"/>
      <c r="AA142" s="9" t="e">
        <f t="shared" si="43"/>
        <v>#DIV/0!</v>
      </c>
      <c r="AB142" s="9" t="e">
        <f t="shared" si="44"/>
        <v>#DIV/0!</v>
      </c>
      <c r="AE142" s="7" t="e">
        <f t="shared" si="49"/>
        <v>#DIV/0!</v>
      </c>
      <c r="AF142" s="7" t="e">
        <f t="shared" si="50"/>
        <v>#DIV/0!</v>
      </c>
      <c r="AG142" s="7">
        <f t="shared" si="45"/>
        <v>0</v>
      </c>
      <c r="AH142" s="7">
        <f t="shared" si="46"/>
        <v>0</v>
      </c>
      <c r="AI142" s="7" t="e">
        <f t="shared" si="51"/>
        <v>#DIV/0!</v>
      </c>
      <c r="AJ142" s="7" t="e">
        <f t="shared" si="52"/>
        <v>#DIV/0!</v>
      </c>
      <c r="AK142" s="7" t="e">
        <f t="shared" si="53"/>
        <v>#DIV/0!</v>
      </c>
      <c r="AL142" s="7" t="e">
        <f t="shared" si="54"/>
        <v>#DIV/0!</v>
      </c>
    </row>
    <row r="143" spans="1:38" s="3" customFormat="1" ht="17" customHeight="1" x14ac:dyDescent="0.2">
      <c r="A143" s="5">
        <f t="shared" si="48"/>
        <v>137</v>
      </c>
      <c r="B143" s="5"/>
      <c r="C143" s="5"/>
      <c r="E143" s="4"/>
      <c r="F143" s="4"/>
      <c r="G143" s="4" t="str">
        <f t="shared" si="47"/>
        <v>_</v>
      </c>
      <c r="H143" s="4"/>
      <c r="K143" s="4"/>
      <c r="L143" s="4"/>
      <c r="M143" s="4"/>
      <c r="N143" s="4"/>
      <c r="R143" s="6"/>
      <c r="S143" s="6"/>
      <c r="T143" s="6"/>
      <c r="U143" s="6"/>
      <c r="V143" s="4"/>
      <c r="W143" s="4"/>
      <c r="X143" s="4"/>
      <c r="AA143" s="9" t="e">
        <f t="shared" si="43"/>
        <v>#DIV/0!</v>
      </c>
      <c r="AB143" s="9" t="e">
        <f t="shared" si="44"/>
        <v>#DIV/0!</v>
      </c>
      <c r="AE143" s="7" t="e">
        <f t="shared" si="49"/>
        <v>#DIV/0!</v>
      </c>
      <c r="AF143" s="7" t="e">
        <f t="shared" si="50"/>
        <v>#DIV/0!</v>
      </c>
      <c r="AG143" s="7">
        <f t="shared" si="45"/>
        <v>0</v>
      </c>
      <c r="AH143" s="7">
        <f t="shared" si="46"/>
        <v>0</v>
      </c>
      <c r="AI143" s="7" t="e">
        <f t="shared" si="51"/>
        <v>#DIV/0!</v>
      </c>
      <c r="AJ143" s="7" t="e">
        <f t="shared" si="52"/>
        <v>#DIV/0!</v>
      </c>
      <c r="AK143" s="7" t="e">
        <f t="shared" si="53"/>
        <v>#DIV/0!</v>
      </c>
      <c r="AL143" s="7" t="e">
        <f t="shared" si="54"/>
        <v>#DIV/0!</v>
      </c>
    </row>
    <row r="144" spans="1:38" s="3" customFormat="1" ht="17" customHeight="1" x14ac:dyDescent="0.2">
      <c r="A144" s="5">
        <f t="shared" si="48"/>
        <v>138</v>
      </c>
      <c r="B144" s="5"/>
      <c r="C144" s="5"/>
      <c r="E144" s="4"/>
      <c r="F144" s="4"/>
      <c r="G144" s="4" t="str">
        <f t="shared" si="47"/>
        <v>_</v>
      </c>
      <c r="H144" s="4"/>
      <c r="K144" s="4"/>
      <c r="L144" s="4"/>
      <c r="M144" s="4"/>
      <c r="N144" s="4"/>
      <c r="R144" s="6"/>
      <c r="S144" s="6"/>
      <c r="T144" s="6"/>
      <c r="U144" s="6"/>
      <c r="V144" s="4"/>
      <c r="W144" s="4"/>
      <c r="X144" s="4"/>
      <c r="AA144" s="9" t="e">
        <f t="shared" si="43"/>
        <v>#DIV/0!</v>
      </c>
      <c r="AB144" s="9" t="e">
        <f t="shared" si="44"/>
        <v>#DIV/0!</v>
      </c>
      <c r="AE144" s="7" t="e">
        <f t="shared" si="49"/>
        <v>#DIV/0!</v>
      </c>
      <c r="AF144" s="7" t="e">
        <f t="shared" si="50"/>
        <v>#DIV/0!</v>
      </c>
      <c r="AG144" s="7">
        <f t="shared" si="45"/>
        <v>0</v>
      </c>
      <c r="AH144" s="7">
        <f t="shared" si="46"/>
        <v>0</v>
      </c>
      <c r="AI144" s="7" t="e">
        <f t="shared" si="51"/>
        <v>#DIV/0!</v>
      </c>
      <c r="AJ144" s="7" t="e">
        <f t="shared" si="52"/>
        <v>#DIV/0!</v>
      </c>
      <c r="AK144" s="7" t="e">
        <f t="shared" si="53"/>
        <v>#DIV/0!</v>
      </c>
      <c r="AL144" s="7" t="e">
        <f t="shared" si="54"/>
        <v>#DIV/0!</v>
      </c>
    </row>
    <row r="145" spans="1:38" s="3" customFormat="1" ht="17" customHeight="1" x14ac:dyDescent="0.2">
      <c r="A145" s="5">
        <f t="shared" si="48"/>
        <v>139</v>
      </c>
      <c r="B145" s="5"/>
      <c r="C145" s="5"/>
      <c r="E145" s="4"/>
      <c r="F145" s="4"/>
      <c r="G145" s="4" t="str">
        <f t="shared" si="47"/>
        <v>_</v>
      </c>
      <c r="H145" s="4"/>
      <c r="K145" s="4"/>
      <c r="L145" s="4"/>
      <c r="M145" s="4"/>
      <c r="N145" s="4"/>
      <c r="R145" s="6"/>
      <c r="S145" s="6"/>
      <c r="T145" s="6"/>
      <c r="U145" s="6"/>
      <c r="V145" s="4"/>
      <c r="W145" s="4"/>
      <c r="X145" s="4"/>
      <c r="AA145" s="9" t="e">
        <f t="shared" si="43"/>
        <v>#DIV/0!</v>
      </c>
      <c r="AB145" s="9" t="e">
        <f t="shared" si="44"/>
        <v>#DIV/0!</v>
      </c>
      <c r="AE145" s="7" t="e">
        <f t="shared" si="49"/>
        <v>#DIV/0!</v>
      </c>
      <c r="AF145" s="7" t="e">
        <f t="shared" si="50"/>
        <v>#DIV/0!</v>
      </c>
      <c r="AG145" s="7">
        <f t="shared" si="45"/>
        <v>0</v>
      </c>
      <c r="AH145" s="7">
        <f t="shared" si="46"/>
        <v>0</v>
      </c>
      <c r="AI145" s="7" t="e">
        <f t="shared" si="51"/>
        <v>#DIV/0!</v>
      </c>
      <c r="AJ145" s="7" t="e">
        <f t="shared" si="52"/>
        <v>#DIV/0!</v>
      </c>
      <c r="AK145" s="7" t="e">
        <f t="shared" si="53"/>
        <v>#DIV/0!</v>
      </c>
      <c r="AL145" s="7" t="e">
        <f t="shared" si="54"/>
        <v>#DIV/0!</v>
      </c>
    </row>
    <row r="146" spans="1:38" s="3" customFormat="1" ht="17" customHeight="1" x14ac:dyDescent="0.2">
      <c r="A146" s="5">
        <f t="shared" si="48"/>
        <v>140</v>
      </c>
      <c r="B146" s="5"/>
      <c r="C146" s="5"/>
      <c r="E146" s="4"/>
      <c r="F146" s="4"/>
      <c r="G146" s="4" t="str">
        <f t="shared" si="47"/>
        <v>_</v>
      </c>
      <c r="H146" s="4"/>
      <c r="K146" s="4"/>
      <c r="L146" s="4"/>
      <c r="M146" s="4"/>
      <c r="N146" s="4"/>
      <c r="R146" s="6"/>
      <c r="S146" s="6"/>
      <c r="T146" s="6"/>
      <c r="U146" s="6"/>
      <c r="V146" s="4"/>
      <c r="W146" s="4"/>
      <c r="X146" s="4"/>
      <c r="AA146" s="9" t="e">
        <f t="shared" si="43"/>
        <v>#DIV/0!</v>
      </c>
      <c r="AB146" s="9" t="e">
        <f t="shared" si="44"/>
        <v>#DIV/0!</v>
      </c>
      <c r="AE146" s="7" t="e">
        <f t="shared" si="49"/>
        <v>#DIV/0!</v>
      </c>
      <c r="AF146" s="7" t="e">
        <f t="shared" si="50"/>
        <v>#DIV/0!</v>
      </c>
      <c r="AG146" s="7">
        <f t="shared" si="45"/>
        <v>0</v>
      </c>
      <c r="AH146" s="7">
        <f t="shared" si="46"/>
        <v>0</v>
      </c>
      <c r="AI146" s="7" t="e">
        <f t="shared" si="51"/>
        <v>#DIV/0!</v>
      </c>
      <c r="AJ146" s="7" t="e">
        <f t="shared" si="52"/>
        <v>#DIV/0!</v>
      </c>
      <c r="AK146" s="7" t="e">
        <f t="shared" si="53"/>
        <v>#DIV/0!</v>
      </c>
      <c r="AL146" s="7" t="e">
        <f t="shared" si="54"/>
        <v>#DIV/0!</v>
      </c>
    </row>
    <row r="147" spans="1:38" s="3" customFormat="1" ht="17" customHeight="1" x14ac:dyDescent="0.2">
      <c r="A147" s="5">
        <f t="shared" si="48"/>
        <v>141</v>
      </c>
      <c r="B147" s="5"/>
      <c r="C147" s="5"/>
      <c r="E147" s="4"/>
      <c r="F147" s="4"/>
      <c r="G147" s="4" t="str">
        <f t="shared" si="47"/>
        <v>_</v>
      </c>
      <c r="H147" s="4"/>
      <c r="K147" s="4"/>
      <c r="L147" s="4"/>
      <c r="M147" s="4"/>
      <c r="N147" s="4"/>
      <c r="R147" s="6"/>
      <c r="S147" s="6"/>
      <c r="T147" s="6"/>
      <c r="U147" s="6"/>
      <c r="V147" s="4"/>
      <c r="W147" s="4"/>
      <c r="X147" s="4"/>
      <c r="AA147" s="9" t="e">
        <f t="shared" si="43"/>
        <v>#DIV/0!</v>
      </c>
      <c r="AB147" s="9" t="e">
        <f t="shared" si="44"/>
        <v>#DIV/0!</v>
      </c>
      <c r="AE147" s="7" t="e">
        <f t="shared" si="49"/>
        <v>#DIV/0!</v>
      </c>
      <c r="AF147" s="7" t="e">
        <f t="shared" si="50"/>
        <v>#DIV/0!</v>
      </c>
      <c r="AG147" s="7">
        <f t="shared" si="45"/>
        <v>0</v>
      </c>
      <c r="AH147" s="7">
        <f t="shared" si="46"/>
        <v>0</v>
      </c>
      <c r="AI147" s="7" t="e">
        <f t="shared" si="51"/>
        <v>#DIV/0!</v>
      </c>
      <c r="AJ147" s="7" t="e">
        <f t="shared" si="52"/>
        <v>#DIV/0!</v>
      </c>
      <c r="AK147" s="7" t="e">
        <f t="shared" si="53"/>
        <v>#DIV/0!</v>
      </c>
      <c r="AL147" s="7" t="e">
        <f t="shared" si="54"/>
        <v>#DIV/0!</v>
      </c>
    </row>
    <row r="148" spans="1:38" s="3" customFormat="1" ht="17" customHeight="1" x14ac:dyDescent="0.2">
      <c r="A148" s="5">
        <f t="shared" si="48"/>
        <v>142</v>
      </c>
      <c r="B148" s="5"/>
      <c r="C148" s="5"/>
      <c r="E148" s="4"/>
      <c r="F148" s="4"/>
      <c r="G148" s="4" t="str">
        <f t="shared" si="47"/>
        <v>_</v>
      </c>
      <c r="H148" s="4"/>
      <c r="K148" s="4"/>
      <c r="L148" s="4"/>
      <c r="M148" s="4"/>
      <c r="N148" s="4"/>
      <c r="R148" s="6"/>
      <c r="S148" s="6"/>
      <c r="T148" s="6"/>
      <c r="U148" s="6"/>
      <c r="V148" s="4"/>
      <c r="W148" s="4"/>
      <c r="X148" s="4"/>
      <c r="AA148" s="9" t="e">
        <f t="shared" si="43"/>
        <v>#DIV/0!</v>
      </c>
      <c r="AB148" s="9" t="e">
        <f t="shared" si="44"/>
        <v>#DIV/0!</v>
      </c>
      <c r="AE148" s="7" t="e">
        <f t="shared" si="49"/>
        <v>#DIV/0!</v>
      </c>
      <c r="AF148" s="7" t="e">
        <f t="shared" si="50"/>
        <v>#DIV/0!</v>
      </c>
      <c r="AG148" s="7">
        <f t="shared" si="45"/>
        <v>0</v>
      </c>
      <c r="AH148" s="7">
        <f t="shared" si="46"/>
        <v>0</v>
      </c>
      <c r="AI148" s="7" t="e">
        <f t="shared" si="51"/>
        <v>#DIV/0!</v>
      </c>
      <c r="AJ148" s="7" t="e">
        <f t="shared" si="52"/>
        <v>#DIV/0!</v>
      </c>
      <c r="AK148" s="7" t="e">
        <f t="shared" si="53"/>
        <v>#DIV/0!</v>
      </c>
      <c r="AL148" s="7" t="e">
        <f t="shared" si="54"/>
        <v>#DIV/0!</v>
      </c>
    </row>
    <row r="149" spans="1:38" s="3" customFormat="1" ht="17" customHeight="1" x14ac:dyDescent="0.2">
      <c r="A149" s="5">
        <f t="shared" si="48"/>
        <v>143</v>
      </c>
      <c r="B149" s="5"/>
      <c r="C149" s="5"/>
      <c r="E149" s="4"/>
      <c r="F149" s="4"/>
      <c r="G149" s="4" t="str">
        <f t="shared" si="47"/>
        <v>_</v>
      </c>
      <c r="H149" s="4"/>
      <c r="K149" s="4"/>
      <c r="L149" s="4"/>
      <c r="M149" s="4"/>
      <c r="N149" s="4"/>
      <c r="R149" s="6"/>
      <c r="S149" s="6"/>
      <c r="T149" s="6"/>
      <c r="U149" s="6"/>
      <c r="V149" s="4"/>
      <c r="W149" s="4"/>
      <c r="X149" s="4"/>
      <c r="AA149" s="9" t="e">
        <f t="shared" si="43"/>
        <v>#DIV/0!</v>
      </c>
      <c r="AB149" s="9" t="e">
        <f t="shared" si="44"/>
        <v>#DIV/0!</v>
      </c>
      <c r="AE149" s="7" t="e">
        <f t="shared" si="49"/>
        <v>#DIV/0!</v>
      </c>
      <c r="AF149" s="7" t="e">
        <f t="shared" si="50"/>
        <v>#DIV/0!</v>
      </c>
      <c r="AG149" s="7">
        <f t="shared" si="45"/>
        <v>0</v>
      </c>
      <c r="AH149" s="7">
        <f t="shared" si="46"/>
        <v>0</v>
      </c>
      <c r="AI149" s="7" t="e">
        <f t="shared" si="51"/>
        <v>#DIV/0!</v>
      </c>
      <c r="AJ149" s="7" t="e">
        <f t="shared" si="52"/>
        <v>#DIV/0!</v>
      </c>
      <c r="AK149" s="7" t="e">
        <f t="shared" si="53"/>
        <v>#DIV/0!</v>
      </c>
      <c r="AL149" s="7" t="e">
        <f t="shared" si="54"/>
        <v>#DIV/0!</v>
      </c>
    </row>
    <row r="150" spans="1:38" s="3" customFormat="1" ht="17" customHeight="1" x14ac:dyDescent="0.2">
      <c r="A150" s="5">
        <f t="shared" si="48"/>
        <v>144</v>
      </c>
      <c r="B150" s="5"/>
      <c r="C150" s="5"/>
      <c r="E150" s="4"/>
      <c r="F150" s="4"/>
      <c r="G150" s="4" t="str">
        <f t="shared" si="47"/>
        <v>_</v>
      </c>
      <c r="H150" s="4"/>
      <c r="K150" s="4"/>
      <c r="L150" s="4"/>
      <c r="M150" s="4"/>
      <c r="N150" s="4"/>
      <c r="R150" s="6"/>
      <c r="S150" s="6"/>
      <c r="T150" s="6"/>
      <c r="U150" s="6"/>
      <c r="V150" s="4"/>
      <c r="W150" s="4"/>
      <c r="X150" s="4"/>
      <c r="AA150" s="9" t="e">
        <f t="shared" si="43"/>
        <v>#DIV/0!</v>
      </c>
      <c r="AB150" s="9" t="e">
        <f t="shared" si="44"/>
        <v>#DIV/0!</v>
      </c>
      <c r="AE150" s="7" t="e">
        <f t="shared" si="49"/>
        <v>#DIV/0!</v>
      </c>
      <c r="AF150" s="7" t="e">
        <f t="shared" si="50"/>
        <v>#DIV/0!</v>
      </c>
      <c r="AG150" s="7">
        <f t="shared" si="45"/>
        <v>0</v>
      </c>
      <c r="AH150" s="7">
        <f t="shared" si="46"/>
        <v>0</v>
      </c>
      <c r="AI150" s="7" t="e">
        <f t="shared" si="51"/>
        <v>#DIV/0!</v>
      </c>
      <c r="AJ150" s="7" t="e">
        <f t="shared" si="52"/>
        <v>#DIV/0!</v>
      </c>
      <c r="AK150" s="7" t="e">
        <f t="shared" si="53"/>
        <v>#DIV/0!</v>
      </c>
      <c r="AL150" s="7" t="e">
        <f t="shared" si="54"/>
        <v>#DIV/0!</v>
      </c>
    </row>
    <row r="151" spans="1:38" s="3" customFormat="1" ht="17" customHeight="1" x14ac:dyDescent="0.2">
      <c r="A151" s="5">
        <f t="shared" si="48"/>
        <v>145</v>
      </c>
      <c r="B151" s="5"/>
      <c r="C151" s="5"/>
      <c r="E151" s="4"/>
      <c r="F151" s="4"/>
      <c r="G151" s="4" t="str">
        <f t="shared" si="47"/>
        <v>_</v>
      </c>
      <c r="H151" s="4"/>
      <c r="K151" s="4"/>
      <c r="L151" s="4"/>
      <c r="M151" s="4"/>
      <c r="N151" s="4"/>
      <c r="R151" s="6"/>
      <c r="S151" s="6"/>
      <c r="T151" s="6"/>
      <c r="U151" s="6"/>
      <c r="V151" s="4"/>
      <c r="W151" s="4"/>
      <c r="X151" s="4"/>
      <c r="AA151" s="9" t="e">
        <f t="shared" si="43"/>
        <v>#DIV/0!</v>
      </c>
      <c r="AB151" s="9" t="e">
        <f t="shared" si="44"/>
        <v>#DIV/0!</v>
      </c>
      <c r="AE151" s="7" t="e">
        <f t="shared" si="49"/>
        <v>#DIV/0!</v>
      </c>
      <c r="AF151" s="7" t="e">
        <f t="shared" si="50"/>
        <v>#DIV/0!</v>
      </c>
      <c r="AG151" s="7">
        <f t="shared" si="45"/>
        <v>0</v>
      </c>
      <c r="AH151" s="7">
        <f t="shared" si="46"/>
        <v>0</v>
      </c>
      <c r="AI151" s="7" t="e">
        <f t="shared" si="51"/>
        <v>#DIV/0!</v>
      </c>
      <c r="AJ151" s="7" t="e">
        <f t="shared" si="52"/>
        <v>#DIV/0!</v>
      </c>
      <c r="AK151" s="7" t="e">
        <f t="shared" si="53"/>
        <v>#DIV/0!</v>
      </c>
      <c r="AL151" s="7" t="e">
        <f t="shared" si="54"/>
        <v>#DIV/0!</v>
      </c>
    </row>
    <row r="152" spans="1:38" s="3" customFormat="1" ht="17" customHeight="1" x14ac:dyDescent="0.2">
      <c r="A152" s="5">
        <f t="shared" si="48"/>
        <v>146</v>
      </c>
      <c r="B152" s="5"/>
      <c r="C152" s="5"/>
      <c r="E152" s="4"/>
      <c r="F152" s="4"/>
      <c r="G152" s="4" t="str">
        <f t="shared" si="47"/>
        <v>_</v>
      </c>
      <c r="H152" s="4"/>
      <c r="K152" s="4"/>
      <c r="L152" s="4"/>
      <c r="M152" s="4"/>
      <c r="N152" s="4"/>
      <c r="R152" s="6"/>
      <c r="S152" s="6"/>
      <c r="T152" s="6"/>
      <c r="U152" s="6"/>
      <c r="V152" s="4"/>
      <c r="W152" s="4"/>
      <c r="X152" s="4"/>
      <c r="AA152" s="9" t="e">
        <f t="shared" si="43"/>
        <v>#DIV/0!</v>
      </c>
      <c r="AB152" s="9" t="e">
        <f t="shared" si="44"/>
        <v>#DIV/0!</v>
      </c>
      <c r="AE152" s="7" t="e">
        <f t="shared" si="49"/>
        <v>#DIV/0!</v>
      </c>
      <c r="AF152" s="7" t="e">
        <f t="shared" si="50"/>
        <v>#DIV/0!</v>
      </c>
      <c r="AG152" s="7">
        <f t="shared" si="45"/>
        <v>0</v>
      </c>
      <c r="AH152" s="7">
        <f t="shared" si="46"/>
        <v>0</v>
      </c>
      <c r="AI152" s="7" t="e">
        <f t="shared" si="51"/>
        <v>#DIV/0!</v>
      </c>
      <c r="AJ152" s="7" t="e">
        <f t="shared" si="52"/>
        <v>#DIV/0!</v>
      </c>
      <c r="AK152" s="7" t="e">
        <f t="shared" si="53"/>
        <v>#DIV/0!</v>
      </c>
      <c r="AL152" s="7" t="e">
        <f t="shared" si="54"/>
        <v>#DIV/0!</v>
      </c>
    </row>
    <row r="153" spans="1:38" s="3" customFormat="1" ht="17" customHeight="1" x14ac:dyDescent="0.2">
      <c r="A153" s="5">
        <f t="shared" si="48"/>
        <v>147</v>
      </c>
      <c r="B153" s="5"/>
      <c r="C153" s="5"/>
      <c r="E153" s="4"/>
      <c r="F153" s="4"/>
      <c r="G153" s="4" t="str">
        <f t="shared" si="47"/>
        <v>_</v>
      </c>
      <c r="H153" s="4"/>
      <c r="K153" s="4"/>
      <c r="L153" s="4"/>
      <c r="M153" s="4"/>
      <c r="N153" s="4"/>
      <c r="R153" s="6"/>
      <c r="S153" s="6"/>
      <c r="T153" s="6"/>
      <c r="U153" s="6"/>
      <c r="V153" s="4"/>
      <c r="W153" s="4"/>
      <c r="X153" s="4"/>
      <c r="AA153" s="9" t="e">
        <f t="shared" si="43"/>
        <v>#DIV/0!</v>
      </c>
      <c r="AB153" s="9" t="e">
        <f t="shared" si="44"/>
        <v>#DIV/0!</v>
      </c>
      <c r="AE153" s="7" t="e">
        <f t="shared" si="49"/>
        <v>#DIV/0!</v>
      </c>
      <c r="AF153" s="7" t="e">
        <f t="shared" si="50"/>
        <v>#DIV/0!</v>
      </c>
      <c r="AG153" s="7">
        <f t="shared" si="45"/>
        <v>0</v>
      </c>
      <c r="AH153" s="7">
        <f t="shared" si="46"/>
        <v>0</v>
      </c>
      <c r="AI153" s="7" t="e">
        <f t="shared" si="51"/>
        <v>#DIV/0!</v>
      </c>
      <c r="AJ153" s="7" t="e">
        <f t="shared" si="52"/>
        <v>#DIV/0!</v>
      </c>
      <c r="AK153" s="7" t="e">
        <f t="shared" si="53"/>
        <v>#DIV/0!</v>
      </c>
      <c r="AL153" s="7" t="e">
        <f t="shared" si="54"/>
        <v>#DIV/0!</v>
      </c>
    </row>
    <row r="154" spans="1:38" s="3" customFormat="1" ht="17" customHeight="1" x14ac:dyDescent="0.2">
      <c r="A154" s="5">
        <f t="shared" si="48"/>
        <v>148</v>
      </c>
      <c r="B154" s="5"/>
      <c r="C154" s="5"/>
      <c r="E154" s="4"/>
      <c r="F154" s="4"/>
      <c r="G154" s="4" t="str">
        <f t="shared" si="47"/>
        <v>_</v>
      </c>
      <c r="H154" s="4"/>
      <c r="K154" s="4"/>
      <c r="L154" s="4"/>
      <c r="M154" s="4"/>
      <c r="N154" s="4"/>
      <c r="R154" s="6"/>
      <c r="S154" s="6"/>
      <c r="T154" s="6"/>
      <c r="U154" s="6"/>
      <c r="V154" s="4"/>
      <c r="W154" s="4"/>
      <c r="X154" s="4"/>
      <c r="AA154" s="9" t="e">
        <f t="shared" si="43"/>
        <v>#DIV/0!</v>
      </c>
      <c r="AB154" s="9" t="e">
        <f t="shared" si="44"/>
        <v>#DIV/0!</v>
      </c>
      <c r="AE154" s="7" t="e">
        <f t="shared" si="49"/>
        <v>#DIV/0!</v>
      </c>
      <c r="AF154" s="7" t="e">
        <f t="shared" si="50"/>
        <v>#DIV/0!</v>
      </c>
      <c r="AG154" s="7">
        <f t="shared" si="45"/>
        <v>0</v>
      </c>
      <c r="AH154" s="7">
        <f t="shared" si="46"/>
        <v>0</v>
      </c>
      <c r="AI154" s="7" t="e">
        <f t="shared" si="51"/>
        <v>#DIV/0!</v>
      </c>
      <c r="AJ154" s="7" t="e">
        <f t="shared" si="52"/>
        <v>#DIV/0!</v>
      </c>
      <c r="AK154" s="7" t="e">
        <f t="shared" si="53"/>
        <v>#DIV/0!</v>
      </c>
      <c r="AL154" s="7" t="e">
        <f t="shared" si="54"/>
        <v>#DIV/0!</v>
      </c>
    </row>
    <row r="155" spans="1:38" s="3" customFormat="1" ht="17" customHeight="1" x14ac:dyDescent="0.2">
      <c r="A155" s="5">
        <f t="shared" si="48"/>
        <v>149</v>
      </c>
      <c r="B155" s="5"/>
      <c r="C155" s="5"/>
      <c r="E155" s="4"/>
      <c r="F155" s="4"/>
      <c r="G155" s="4" t="str">
        <f t="shared" si="47"/>
        <v>_</v>
      </c>
      <c r="H155" s="4"/>
      <c r="K155" s="4"/>
      <c r="L155" s="4"/>
      <c r="M155" s="4"/>
      <c r="N155" s="4"/>
      <c r="R155" s="6"/>
      <c r="S155" s="6"/>
      <c r="T155" s="6"/>
      <c r="U155" s="6"/>
      <c r="V155" s="4"/>
      <c r="W155" s="4"/>
      <c r="X155" s="4"/>
      <c r="AA155" s="9" t="e">
        <f t="shared" si="43"/>
        <v>#DIV/0!</v>
      </c>
      <c r="AB155" s="9" t="e">
        <f t="shared" si="44"/>
        <v>#DIV/0!</v>
      </c>
      <c r="AE155" s="7" t="e">
        <f t="shared" si="49"/>
        <v>#DIV/0!</v>
      </c>
      <c r="AF155" s="7" t="e">
        <f t="shared" si="50"/>
        <v>#DIV/0!</v>
      </c>
      <c r="AG155" s="7">
        <f t="shared" si="45"/>
        <v>0</v>
      </c>
      <c r="AH155" s="7">
        <f t="shared" si="46"/>
        <v>0</v>
      </c>
      <c r="AI155" s="7" t="e">
        <f t="shared" si="51"/>
        <v>#DIV/0!</v>
      </c>
      <c r="AJ155" s="7" t="e">
        <f t="shared" si="52"/>
        <v>#DIV/0!</v>
      </c>
      <c r="AK155" s="7" t="e">
        <f t="shared" si="53"/>
        <v>#DIV/0!</v>
      </c>
      <c r="AL155" s="7" t="e">
        <f t="shared" si="54"/>
        <v>#DIV/0!</v>
      </c>
    </row>
    <row r="156" spans="1:38" s="3" customFormat="1" ht="17" customHeight="1" x14ac:dyDescent="0.2">
      <c r="A156" s="5">
        <f t="shared" si="48"/>
        <v>150</v>
      </c>
      <c r="B156" s="5"/>
      <c r="C156" s="5"/>
      <c r="E156" s="4"/>
      <c r="F156" s="4"/>
      <c r="G156" s="4" t="str">
        <f t="shared" si="47"/>
        <v>_</v>
      </c>
      <c r="H156" s="4"/>
      <c r="K156" s="4"/>
      <c r="L156" s="4"/>
      <c r="M156" s="4"/>
      <c r="N156" s="4"/>
      <c r="R156" s="6"/>
      <c r="S156" s="6"/>
      <c r="T156" s="6"/>
      <c r="U156" s="6"/>
      <c r="V156" s="4"/>
      <c r="W156" s="4"/>
      <c r="X156" s="4"/>
      <c r="AA156" s="9" t="e">
        <f t="shared" si="43"/>
        <v>#DIV/0!</v>
      </c>
      <c r="AB156" s="9" t="e">
        <f t="shared" si="44"/>
        <v>#DIV/0!</v>
      </c>
      <c r="AE156" s="7" t="e">
        <f t="shared" si="49"/>
        <v>#DIV/0!</v>
      </c>
      <c r="AF156" s="7" t="e">
        <f t="shared" si="50"/>
        <v>#DIV/0!</v>
      </c>
      <c r="AG156" s="7">
        <f t="shared" si="45"/>
        <v>0</v>
      </c>
      <c r="AH156" s="7">
        <f t="shared" si="46"/>
        <v>0</v>
      </c>
      <c r="AI156" s="7" t="e">
        <f t="shared" si="51"/>
        <v>#DIV/0!</v>
      </c>
      <c r="AJ156" s="7" t="e">
        <f t="shared" si="52"/>
        <v>#DIV/0!</v>
      </c>
      <c r="AK156" s="7" t="e">
        <f t="shared" si="53"/>
        <v>#DIV/0!</v>
      </c>
      <c r="AL156" s="7" t="e">
        <f t="shared" si="54"/>
        <v>#DIV/0!</v>
      </c>
    </row>
    <row r="157" spans="1:38" s="3" customFormat="1" ht="17" customHeight="1" x14ac:dyDescent="0.2">
      <c r="A157" s="5">
        <f t="shared" si="48"/>
        <v>151</v>
      </c>
      <c r="B157" s="5"/>
      <c r="C157" s="5"/>
      <c r="E157" s="4"/>
      <c r="F157" s="4"/>
      <c r="G157" s="4" t="str">
        <f t="shared" si="47"/>
        <v>_</v>
      </c>
      <c r="H157" s="4"/>
      <c r="K157" s="4"/>
      <c r="L157" s="4"/>
      <c r="M157" s="4"/>
      <c r="N157" s="4"/>
      <c r="R157" s="6"/>
      <c r="S157" s="6"/>
      <c r="T157" s="6"/>
      <c r="U157" s="6"/>
      <c r="V157" s="4"/>
      <c r="W157" s="4"/>
      <c r="X157" s="4"/>
      <c r="AA157" s="9" t="e">
        <f t="shared" si="43"/>
        <v>#DIV/0!</v>
      </c>
      <c r="AB157" s="9" t="e">
        <f t="shared" si="44"/>
        <v>#DIV/0!</v>
      </c>
      <c r="AE157" s="7" t="e">
        <f t="shared" si="49"/>
        <v>#DIV/0!</v>
      </c>
      <c r="AF157" s="7" t="e">
        <f t="shared" si="50"/>
        <v>#DIV/0!</v>
      </c>
      <c r="AG157" s="7">
        <f t="shared" si="45"/>
        <v>0</v>
      </c>
      <c r="AH157" s="7">
        <f t="shared" si="46"/>
        <v>0</v>
      </c>
      <c r="AI157" s="7" t="e">
        <f t="shared" si="51"/>
        <v>#DIV/0!</v>
      </c>
      <c r="AJ157" s="7" t="e">
        <f t="shared" si="52"/>
        <v>#DIV/0!</v>
      </c>
      <c r="AK157" s="7" t="e">
        <f t="shared" si="53"/>
        <v>#DIV/0!</v>
      </c>
      <c r="AL157" s="7" t="e">
        <f t="shared" si="54"/>
        <v>#DIV/0!</v>
      </c>
    </row>
    <row r="158" spans="1:38" s="3" customFormat="1" ht="17" customHeight="1" x14ac:dyDescent="0.2">
      <c r="A158" s="5">
        <f t="shared" si="48"/>
        <v>152</v>
      </c>
      <c r="B158" s="5"/>
      <c r="C158" s="5"/>
      <c r="E158" s="4"/>
      <c r="F158" s="4"/>
      <c r="G158" s="4" t="str">
        <f t="shared" si="47"/>
        <v>_</v>
      </c>
      <c r="H158" s="4"/>
      <c r="K158" s="4"/>
      <c r="L158" s="4"/>
      <c r="M158" s="4"/>
      <c r="N158" s="4"/>
      <c r="R158" s="6"/>
      <c r="S158" s="6"/>
      <c r="T158" s="6"/>
      <c r="U158" s="6"/>
      <c r="V158" s="4"/>
      <c r="W158" s="4"/>
      <c r="X158" s="4"/>
      <c r="AA158" s="9" t="e">
        <f t="shared" si="43"/>
        <v>#DIV/0!</v>
      </c>
      <c r="AB158" s="9" t="e">
        <f t="shared" si="44"/>
        <v>#DIV/0!</v>
      </c>
      <c r="AE158" s="7" t="e">
        <f t="shared" si="49"/>
        <v>#DIV/0!</v>
      </c>
      <c r="AF158" s="7" t="e">
        <f t="shared" si="50"/>
        <v>#DIV/0!</v>
      </c>
      <c r="AG158" s="7">
        <f t="shared" si="45"/>
        <v>0</v>
      </c>
      <c r="AH158" s="7">
        <f t="shared" si="46"/>
        <v>0</v>
      </c>
      <c r="AI158" s="7" t="e">
        <f t="shared" si="51"/>
        <v>#DIV/0!</v>
      </c>
      <c r="AJ158" s="7" t="e">
        <f t="shared" si="52"/>
        <v>#DIV/0!</v>
      </c>
      <c r="AK158" s="7" t="e">
        <f t="shared" si="53"/>
        <v>#DIV/0!</v>
      </c>
      <c r="AL158" s="7" t="e">
        <f t="shared" si="54"/>
        <v>#DIV/0!</v>
      </c>
    </row>
    <row r="159" spans="1:38" s="3" customFormat="1" ht="17" customHeight="1" x14ac:dyDescent="0.2">
      <c r="A159" s="5">
        <f t="shared" si="48"/>
        <v>153</v>
      </c>
      <c r="B159" s="5"/>
      <c r="C159" s="5"/>
      <c r="E159" s="4"/>
      <c r="F159" s="4"/>
      <c r="G159" s="4" t="str">
        <f t="shared" si="47"/>
        <v>_</v>
      </c>
      <c r="H159" s="4"/>
      <c r="K159" s="4"/>
      <c r="L159" s="4"/>
      <c r="M159" s="4"/>
      <c r="N159" s="4"/>
      <c r="R159" s="6"/>
      <c r="S159" s="6"/>
      <c r="T159" s="6"/>
      <c r="U159" s="6"/>
      <c r="V159" s="4"/>
      <c r="W159" s="4"/>
      <c r="X159" s="4"/>
      <c r="AA159" s="9" t="e">
        <f t="shared" si="43"/>
        <v>#DIV/0!</v>
      </c>
      <c r="AB159" s="9" t="e">
        <f t="shared" si="44"/>
        <v>#DIV/0!</v>
      </c>
      <c r="AE159" s="7" t="e">
        <f t="shared" si="49"/>
        <v>#DIV/0!</v>
      </c>
      <c r="AF159" s="7" t="e">
        <f t="shared" si="50"/>
        <v>#DIV/0!</v>
      </c>
      <c r="AG159" s="7">
        <f t="shared" si="45"/>
        <v>0</v>
      </c>
      <c r="AH159" s="7">
        <f t="shared" si="46"/>
        <v>0</v>
      </c>
      <c r="AI159" s="7" t="e">
        <f t="shared" si="51"/>
        <v>#DIV/0!</v>
      </c>
      <c r="AJ159" s="7" t="e">
        <f t="shared" si="52"/>
        <v>#DIV/0!</v>
      </c>
      <c r="AK159" s="7" t="e">
        <f t="shared" si="53"/>
        <v>#DIV/0!</v>
      </c>
      <c r="AL159" s="7" t="e">
        <f t="shared" si="54"/>
        <v>#DIV/0!</v>
      </c>
    </row>
    <row r="160" spans="1:38" s="3" customFormat="1" ht="17" customHeight="1" x14ac:dyDescent="0.2">
      <c r="A160" s="5">
        <f t="shared" si="48"/>
        <v>154</v>
      </c>
      <c r="B160" s="5"/>
      <c r="C160" s="5"/>
      <c r="E160" s="4"/>
      <c r="F160" s="4"/>
      <c r="G160" s="4" t="str">
        <f t="shared" si="47"/>
        <v>_</v>
      </c>
      <c r="H160" s="4"/>
      <c r="K160" s="4"/>
      <c r="L160" s="4"/>
      <c r="M160" s="4"/>
      <c r="N160" s="4"/>
      <c r="R160" s="6"/>
      <c r="S160" s="6"/>
      <c r="T160" s="6"/>
      <c r="U160" s="6"/>
      <c r="V160" s="4"/>
      <c r="W160" s="4"/>
      <c r="X160" s="4"/>
      <c r="AA160" s="9" t="e">
        <f t="shared" si="43"/>
        <v>#DIV/0!</v>
      </c>
      <c r="AB160" s="9" t="e">
        <f t="shared" si="44"/>
        <v>#DIV/0!</v>
      </c>
      <c r="AE160" s="7" t="e">
        <f t="shared" si="49"/>
        <v>#DIV/0!</v>
      </c>
      <c r="AF160" s="7" t="e">
        <f t="shared" si="50"/>
        <v>#DIV/0!</v>
      </c>
      <c r="AG160" s="7">
        <f t="shared" si="45"/>
        <v>0</v>
      </c>
      <c r="AH160" s="7">
        <f t="shared" si="46"/>
        <v>0</v>
      </c>
      <c r="AI160" s="7" t="e">
        <f t="shared" si="51"/>
        <v>#DIV/0!</v>
      </c>
      <c r="AJ160" s="7" t="e">
        <f t="shared" si="52"/>
        <v>#DIV/0!</v>
      </c>
      <c r="AK160" s="7" t="e">
        <f t="shared" si="53"/>
        <v>#DIV/0!</v>
      </c>
      <c r="AL160" s="7" t="e">
        <f t="shared" si="54"/>
        <v>#DIV/0!</v>
      </c>
    </row>
    <row r="161" spans="1:38" s="3" customFormat="1" ht="17" customHeight="1" x14ac:dyDescent="0.2">
      <c r="A161" s="5">
        <f t="shared" si="48"/>
        <v>155</v>
      </c>
      <c r="B161" s="5"/>
      <c r="C161" s="5"/>
      <c r="E161" s="4"/>
      <c r="F161" s="4"/>
      <c r="G161" s="4" t="str">
        <f t="shared" si="47"/>
        <v>_</v>
      </c>
      <c r="H161" s="4"/>
      <c r="K161" s="4"/>
      <c r="L161" s="4"/>
      <c r="M161" s="4"/>
      <c r="N161" s="4"/>
      <c r="R161" s="6"/>
      <c r="S161" s="6"/>
      <c r="T161" s="6"/>
      <c r="U161" s="6"/>
      <c r="V161" s="4"/>
      <c r="W161" s="4"/>
      <c r="X161" s="4"/>
      <c r="AA161" s="9" t="e">
        <f t="shared" si="43"/>
        <v>#DIV/0!</v>
      </c>
      <c r="AB161" s="9" t="e">
        <f t="shared" si="44"/>
        <v>#DIV/0!</v>
      </c>
      <c r="AE161" s="7" t="e">
        <f t="shared" si="49"/>
        <v>#DIV/0!</v>
      </c>
      <c r="AF161" s="7" t="e">
        <f t="shared" si="50"/>
        <v>#DIV/0!</v>
      </c>
      <c r="AG161" s="7">
        <f t="shared" si="45"/>
        <v>0</v>
      </c>
      <c r="AH161" s="7">
        <f t="shared" si="46"/>
        <v>0</v>
      </c>
      <c r="AI161" s="7" t="e">
        <f t="shared" si="51"/>
        <v>#DIV/0!</v>
      </c>
      <c r="AJ161" s="7" t="e">
        <f t="shared" si="52"/>
        <v>#DIV/0!</v>
      </c>
      <c r="AK161" s="7" t="e">
        <f t="shared" si="53"/>
        <v>#DIV/0!</v>
      </c>
      <c r="AL161" s="7" t="e">
        <f t="shared" si="54"/>
        <v>#DIV/0!</v>
      </c>
    </row>
    <row r="162" spans="1:38" s="3" customFormat="1" ht="17" customHeight="1" x14ac:dyDescent="0.2">
      <c r="A162" s="5">
        <f t="shared" si="48"/>
        <v>156</v>
      </c>
      <c r="B162" s="5"/>
      <c r="C162" s="5"/>
      <c r="E162" s="4"/>
      <c r="F162" s="4"/>
      <c r="G162" s="4" t="str">
        <f t="shared" si="47"/>
        <v>_</v>
      </c>
      <c r="H162" s="4"/>
      <c r="K162" s="4"/>
      <c r="L162" s="4"/>
      <c r="M162" s="4"/>
      <c r="N162" s="4"/>
      <c r="R162" s="6"/>
      <c r="S162" s="6"/>
      <c r="T162" s="6"/>
      <c r="U162" s="6"/>
      <c r="V162" s="4"/>
      <c r="W162" s="4"/>
      <c r="X162" s="4"/>
      <c r="AA162" s="9" t="e">
        <f t="shared" si="43"/>
        <v>#DIV/0!</v>
      </c>
      <c r="AB162" s="9" t="e">
        <f t="shared" si="44"/>
        <v>#DIV/0!</v>
      </c>
      <c r="AE162" s="7" t="e">
        <f t="shared" si="49"/>
        <v>#DIV/0!</v>
      </c>
      <c r="AF162" s="7" t="e">
        <f t="shared" si="50"/>
        <v>#DIV/0!</v>
      </c>
      <c r="AG162" s="7">
        <f t="shared" si="45"/>
        <v>0</v>
      </c>
      <c r="AH162" s="7">
        <f t="shared" si="46"/>
        <v>0</v>
      </c>
      <c r="AI162" s="7" t="e">
        <f t="shared" si="51"/>
        <v>#DIV/0!</v>
      </c>
      <c r="AJ162" s="7" t="e">
        <f t="shared" si="52"/>
        <v>#DIV/0!</v>
      </c>
      <c r="AK162" s="7" t="e">
        <f t="shared" si="53"/>
        <v>#DIV/0!</v>
      </c>
      <c r="AL162" s="7" t="e">
        <f t="shared" si="54"/>
        <v>#DIV/0!</v>
      </c>
    </row>
    <row r="163" spans="1:38" s="3" customFormat="1" ht="17" customHeight="1" x14ac:dyDescent="0.2">
      <c r="A163" s="5">
        <f t="shared" si="48"/>
        <v>157</v>
      </c>
      <c r="B163" s="5"/>
      <c r="C163" s="5"/>
      <c r="E163" s="4"/>
      <c r="F163" s="4"/>
      <c r="G163" s="4" t="str">
        <f t="shared" si="47"/>
        <v>_</v>
      </c>
      <c r="H163" s="4"/>
      <c r="K163" s="4"/>
      <c r="L163" s="4"/>
      <c r="M163" s="4"/>
      <c r="N163" s="4"/>
      <c r="R163" s="6"/>
      <c r="S163" s="6"/>
      <c r="T163" s="6"/>
      <c r="U163" s="6"/>
      <c r="V163" s="4"/>
      <c r="W163" s="4"/>
      <c r="X163" s="4"/>
      <c r="AA163" s="9" t="e">
        <f t="shared" si="43"/>
        <v>#DIV/0!</v>
      </c>
      <c r="AB163" s="9" t="e">
        <f t="shared" si="44"/>
        <v>#DIV/0!</v>
      </c>
      <c r="AE163" s="7" t="e">
        <f t="shared" si="49"/>
        <v>#DIV/0!</v>
      </c>
      <c r="AF163" s="7" t="e">
        <f t="shared" si="50"/>
        <v>#DIV/0!</v>
      </c>
      <c r="AG163" s="7">
        <f t="shared" si="45"/>
        <v>0</v>
      </c>
      <c r="AH163" s="7">
        <f t="shared" si="46"/>
        <v>0</v>
      </c>
      <c r="AI163" s="7" t="e">
        <f t="shared" si="51"/>
        <v>#DIV/0!</v>
      </c>
      <c r="AJ163" s="7" t="e">
        <f t="shared" si="52"/>
        <v>#DIV/0!</v>
      </c>
      <c r="AK163" s="7" t="e">
        <f t="shared" si="53"/>
        <v>#DIV/0!</v>
      </c>
      <c r="AL163" s="7" t="e">
        <f t="shared" si="54"/>
        <v>#DIV/0!</v>
      </c>
    </row>
    <row r="164" spans="1:38" s="3" customFormat="1" ht="17" customHeight="1" x14ac:dyDescent="0.2">
      <c r="A164" s="5">
        <f t="shared" si="48"/>
        <v>158</v>
      </c>
      <c r="B164" s="5"/>
      <c r="C164" s="5"/>
      <c r="E164" s="4"/>
      <c r="F164" s="4"/>
      <c r="G164" s="4" t="str">
        <f t="shared" si="47"/>
        <v>_</v>
      </c>
      <c r="H164" s="4"/>
      <c r="K164" s="4"/>
      <c r="L164" s="4"/>
      <c r="M164" s="4"/>
      <c r="N164" s="4"/>
      <c r="R164" s="6"/>
      <c r="S164" s="6"/>
      <c r="T164" s="6"/>
      <c r="U164" s="6"/>
      <c r="V164" s="4"/>
      <c r="W164" s="4"/>
      <c r="X164" s="4"/>
      <c r="AA164" s="9" t="e">
        <f t="shared" ref="AA164:AA188" si="55">(1/1.249)*AI164+(1-(1/1.249))*AJ164</f>
        <v>#DIV/0!</v>
      </c>
      <c r="AB164" s="9" t="e">
        <f t="shared" ref="AB164:AB188" si="56">(1/1.249)*AK164+(1-(1/1.249))*AL164</f>
        <v>#DIV/0!</v>
      </c>
      <c r="AE164" s="7" t="e">
        <f t="shared" si="49"/>
        <v>#DIV/0!</v>
      </c>
      <c r="AF164" s="7" t="e">
        <f t="shared" si="50"/>
        <v>#DIV/0!</v>
      </c>
      <c r="AG164" s="7">
        <f t="shared" ref="AG164:AG188" si="57">(R164+T164)/2</f>
        <v>0</v>
      </c>
      <c r="AH164" s="7">
        <f t="shared" ref="AH164:AH188" si="58">(S164+U164)/4</f>
        <v>0</v>
      </c>
      <c r="AI164" s="7" t="e">
        <f t="shared" si="51"/>
        <v>#DIV/0!</v>
      </c>
      <c r="AJ164" s="7" t="e">
        <f t="shared" si="52"/>
        <v>#DIV/0!</v>
      </c>
      <c r="AK164" s="7" t="e">
        <f t="shared" si="53"/>
        <v>#DIV/0!</v>
      </c>
      <c r="AL164" s="7" t="e">
        <f t="shared" si="54"/>
        <v>#DIV/0!</v>
      </c>
    </row>
    <row r="165" spans="1:38" s="3" customFormat="1" ht="17" customHeight="1" x14ac:dyDescent="0.2">
      <c r="A165" s="5">
        <f t="shared" si="48"/>
        <v>159</v>
      </c>
      <c r="B165" s="5"/>
      <c r="C165" s="5"/>
      <c r="E165" s="4"/>
      <c r="F165" s="4"/>
      <c r="G165" s="4" t="str">
        <f t="shared" si="47"/>
        <v>_</v>
      </c>
      <c r="H165" s="4"/>
      <c r="K165" s="4"/>
      <c r="L165" s="4"/>
      <c r="M165" s="4"/>
      <c r="N165" s="4"/>
      <c r="R165" s="6"/>
      <c r="S165" s="6"/>
      <c r="T165" s="6"/>
      <c r="U165" s="6"/>
      <c r="V165" s="4"/>
      <c r="W165" s="4"/>
      <c r="X165" s="4"/>
      <c r="AA165" s="9" t="e">
        <f t="shared" si="55"/>
        <v>#DIV/0!</v>
      </c>
      <c r="AB165" s="9" t="e">
        <f t="shared" si="56"/>
        <v>#DIV/0!</v>
      </c>
      <c r="AE165" s="7" t="e">
        <f t="shared" si="49"/>
        <v>#DIV/0!</v>
      </c>
      <c r="AF165" s="7" t="e">
        <f t="shared" si="50"/>
        <v>#DIV/0!</v>
      </c>
      <c r="AG165" s="7">
        <f t="shared" si="57"/>
        <v>0</v>
      </c>
      <c r="AH165" s="7">
        <f t="shared" si="58"/>
        <v>0</v>
      </c>
      <c r="AI165" s="7" t="e">
        <f t="shared" si="51"/>
        <v>#DIV/0!</v>
      </c>
      <c r="AJ165" s="7" t="e">
        <f t="shared" si="52"/>
        <v>#DIV/0!</v>
      </c>
      <c r="AK165" s="7" t="e">
        <f t="shared" si="53"/>
        <v>#DIV/0!</v>
      </c>
      <c r="AL165" s="7" t="e">
        <f t="shared" si="54"/>
        <v>#DIV/0!</v>
      </c>
    </row>
    <row r="166" spans="1:38" s="3" customFormat="1" ht="17" customHeight="1" x14ac:dyDescent="0.2">
      <c r="A166" s="5">
        <f t="shared" si="48"/>
        <v>160</v>
      </c>
      <c r="B166" s="5"/>
      <c r="C166" s="5"/>
      <c r="E166" s="4"/>
      <c r="F166" s="4"/>
      <c r="G166" s="4" t="str">
        <f t="shared" si="47"/>
        <v>_</v>
      </c>
      <c r="H166" s="4"/>
      <c r="K166" s="4"/>
      <c r="L166" s="4"/>
      <c r="M166" s="4"/>
      <c r="N166" s="4"/>
      <c r="R166" s="6"/>
      <c r="S166" s="6"/>
      <c r="T166" s="6"/>
      <c r="U166" s="6"/>
      <c r="V166" s="4"/>
      <c r="W166" s="4"/>
      <c r="X166" s="4"/>
      <c r="AA166" s="9" t="e">
        <f t="shared" si="55"/>
        <v>#DIV/0!</v>
      </c>
      <c r="AB166" s="9" t="e">
        <f t="shared" si="56"/>
        <v>#DIV/0!</v>
      </c>
      <c r="AE166" s="7" t="e">
        <f t="shared" si="49"/>
        <v>#DIV/0!</v>
      </c>
      <c r="AF166" s="7" t="e">
        <f t="shared" si="50"/>
        <v>#DIV/0!</v>
      </c>
      <c r="AG166" s="7">
        <f t="shared" si="57"/>
        <v>0</v>
      </c>
      <c r="AH166" s="7">
        <f t="shared" si="58"/>
        <v>0</v>
      </c>
      <c r="AI166" s="7" t="e">
        <f t="shared" si="51"/>
        <v>#DIV/0!</v>
      </c>
      <c r="AJ166" s="7" t="e">
        <f t="shared" si="52"/>
        <v>#DIV/0!</v>
      </c>
      <c r="AK166" s="7" t="e">
        <f t="shared" si="53"/>
        <v>#DIV/0!</v>
      </c>
      <c r="AL166" s="7" t="e">
        <f t="shared" si="54"/>
        <v>#DIV/0!</v>
      </c>
    </row>
    <row r="167" spans="1:38" s="3" customFormat="1" ht="17" customHeight="1" x14ac:dyDescent="0.2">
      <c r="A167" s="5">
        <f t="shared" si="48"/>
        <v>161</v>
      </c>
      <c r="B167" s="5"/>
      <c r="C167" s="5"/>
      <c r="E167" s="4"/>
      <c r="F167" s="4"/>
      <c r="G167" s="4" t="str">
        <f t="shared" si="47"/>
        <v>_</v>
      </c>
      <c r="H167" s="4"/>
      <c r="K167" s="4"/>
      <c r="L167" s="4"/>
      <c r="M167" s="4"/>
      <c r="N167" s="4"/>
      <c r="R167" s="6"/>
      <c r="S167" s="6"/>
      <c r="T167" s="6"/>
      <c r="U167" s="6"/>
      <c r="V167" s="4"/>
      <c r="W167" s="4"/>
      <c r="X167" s="4"/>
      <c r="AA167" s="9" t="e">
        <f t="shared" si="55"/>
        <v>#DIV/0!</v>
      </c>
      <c r="AB167" s="9" t="e">
        <f t="shared" si="56"/>
        <v>#DIV/0!</v>
      </c>
      <c r="AE167" s="7" t="e">
        <f t="shared" si="49"/>
        <v>#DIV/0!</v>
      </c>
      <c r="AF167" s="7" t="e">
        <f t="shared" si="50"/>
        <v>#DIV/0!</v>
      </c>
      <c r="AG167" s="7">
        <f t="shared" si="57"/>
        <v>0</v>
      </c>
      <c r="AH167" s="7">
        <f t="shared" si="58"/>
        <v>0</v>
      </c>
      <c r="AI167" s="7" t="e">
        <f t="shared" si="51"/>
        <v>#DIV/0!</v>
      </c>
      <c r="AJ167" s="7" t="e">
        <f t="shared" si="52"/>
        <v>#DIV/0!</v>
      </c>
      <c r="AK167" s="7" t="e">
        <f t="shared" si="53"/>
        <v>#DIV/0!</v>
      </c>
      <c r="AL167" s="7" t="e">
        <f t="shared" si="54"/>
        <v>#DIV/0!</v>
      </c>
    </row>
    <row r="168" spans="1:38" s="3" customFormat="1" ht="17" customHeight="1" x14ac:dyDescent="0.2">
      <c r="A168" s="5">
        <f t="shared" si="48"/>
        <v>162</v>
      </c>
      <c r="B168" s="5"/>
      <c r="C168" s="5"/>
      <c r="E168" s="4"/>
      <c r="F168" s="4"/>
      <c r="G168" s="4" t="str">
        <f t="shared" si="47"/>
        <v>_</v>
      </c>
      <c r="H168" s="4"/>
      <c r="K168" s="4"/>
      <c r="L168" s="4"/>
      <c r="M168" s="4"/>
      <c r="N168" s="4"/>
      <c r="R168" s="6"/>
      <c r="S168" s="6"/>
      <c r="T168" s="6"/>
      <c r="U168" s="6"/>
      <c r="V168" s="4"/>
      <c r="W168" s="4"/>
      <c r="X168" s="4"/>
      <c r="AA168" s="9" t="e">
        <f t="shared" si="55"/>
        <v>#DIV/0!</v>
      </c>
      <c r="AB168" s="9" t="e">
        <f t="shared" si="56"/>
        <v>#DIV/0!</v>
      </c>
      <c r="AE168" s="7" t="e">
        <f t="shared" si="49"/>
        <v>#DIV/0!</v>
      </c>
      <c r="AF168" s="7" t="e">
        <f t="shared" si="50"/>
        <v>#DIV/0!</v>
      </c>
      <c r="AG168" s="7">
        <f t="shared" si="57"/>
        <v>0</v>
      </c>
      <c r="AH168" s="7">
        <f t="shared" si="58"/>
        <v>0</v>
      </c>
      <c r="AI168" s="7" t="e">
        <f t="shared" si="51"/>
        <v>#DIV/0!</v>
      </c>
      <c r="AJ168" s="7" t="e">
        <f t="shared" si="52"/>
        <v>#DIV/0!</v>
      </c>
      <c r="AK168" s="7" t="e">
        <f t="shared" si="53"/>
        <v>#DIV/0!</v>
      </c>
      <c r="AL168" s="7" t="e">
        <f t="shared" si="54"/>
        <v>#DIV/0!</v>
      </c>
    </row>
    <row r="169" spans="1:38" s="3" customFormat="1" ht="17" customHeight="1" x14ac:dyDescent="0.2">
      <c r="A169" s="5">
        <f t="shared" si="48"/>
        <v>163</v>
      </c>
      <c r="B169" s="5"/>
      <c r="C169" s="5"/>
      <c r="E169" s="4"/>
      <c r="F169" s="4"/>
      <c r="G169" s="4" t="str">
        <f t="shared" si="47"/>
        <v>_</v>
      </c>
      <c r="H169" s="4"/>
      <c r="K169" s="4"/>
      <c r="L169" s="4"/>
      <c r="M169" s="4"/>
      <c r="N169" s="4"/>
      <c r="R169" s="6"/>
      <c r="S169" s="6"/>
      <c r="T169" s="6"/>
      <c r="U169" s="6"/>
      <c r="V169" s="4"/>
      <c r="W169" s="4"/>
      <c r="X169" s="4"/>
      <c r="AA169" s="9" t="e">
        <f t="shared" si="55"/>
        <v>#DIV/0!</v>
      </c>
      <c r="AB169" s="9" t="e">
        <f t="shared" si="56"/>
        <v>#DIV/0!</v>
      </c>
      <c r="AE169" s="7" t="e">
        <f t="shared" si="49"/>
        <v>#DIV/0!</v>
      </c>
      <c r="AF169" s="7" t="e">
        <f t="shared" si="50"/>
        <v>#DIV/0!</v>
      </c>
      <c r="AG169" s="7">
        <f t="shared" si="57"/>
        <v>0</v>
      </c>
      <c r="AH169" s="7">
        <f t="shared" si="58"/>
        <v>0</v>
      </c>
      <c r="AI169" s="7" t="e">
        <f t="shared" si="51"/>
        <v>#DIV/0!</v>
      </c>
      <c r="AJ169" s="7" t="e">
        <f t="shared" si="52"/>
        <v>#DIV/0!</v>
      </c>
      <c r="AK169" s="7" t="e">
        <f t="shared" si="53"/>
        <v>#DIV/0!</v>
      </c>
      <c r="AL169" s="7" t="e">
        <f t="shared" si="54"/>
        <v>#DIV/0!</v>
      </c>
    </row>
    <row r="170" spans="1:38" s="3" customFormat="1" ht="17" customHeight="1" x14ac:dyDescent="0.2">
      <c r="A170" s="5">
        <f t="shared" si="48"/>
        <v>164</v>
      </c>
      <c r="B170" s="5"/>
      <c r="C170" s="5"/>
      <c r="E170" s="4"/>
      <c r="F170" s="4"/>
      <c r="G170" s="4" t="str">
        <f t="shared" si="47"/>
        <v>_</v>
      </c>
      <c r="H170" s="4"/>
      <c r="K170" s="4"/>
      <c r="L170" s="4"/>
      <c r="M170" s="4"/>
      <c r="N170" s="4"/>
      <c r="R170" s="6"/>
      <c r="S170" s="6"/>
      <c r="T170" s="6"/>
      <c r="U170" s="6"/>
      <c r="V170" s="4"/>
      <c r="W170" s="4"/>
      <c r="X170" s="4"/>
      <c r="AA170" s="9" t="e">
        <f t="shared" si="55"/>
        <v>#DIV/0!</v>
      </c>
      <c r="AB170" s="9" t="e">
        <f t="shared" si="56"/>
        <v>#DIV/0!</v>
      </c>
      <c r="AE170" s="7" t="e">
        <f t="shared" si="49"/>
        <v>#DIV/0!</v>
      </c>
      <c r="AF170" s="7" t="e">
        <f t="shared" si="50"/>
        <v>#DIV/0!</v>
      </c>
      <c r="AG170" s="7">
        <f t="shared" si="57"/>
        <v>0</v>
      </c>
      <c r="AH170" s="7">
        <f t="shared" si="58"/>
        <v>0</v>
      </c>
      <c r="AI170" s="7" t="e">
        <f t="shared" si="51"/>
        <v>#DIV/0!</v>
      </c>
      <c r="AJ170" s="7" t="e">
        <f t="shared" si="52"/>
        <v>#DIV/0!</v>
      </c>
      <c r="AK170" s="7" t="e">
        <f t="shared" si="53"/>
        <v>#DIV/0!</v>
      </c>
      <c r="AL170" s="7" t="e">
        <f t="shared" si="54"/>
        <v>#DIV/0!</v>
      </c>
    </row>
    <row r="171" spans="1:38" s="3" customFormat="1" ht="17" customHeight="1" x14ac:dyDescent="0.2">
      <c r="A171" s="5">
        <f t="shared" si="48"/>
        <v>165</v>
      </c>
      <c r="B171" s="5"/>
      <c r="C171" s="5"/>
      <c r="E171" s="4"/>
      <c r="F171" s="4"/>
      <c r="G171" s="4" t="str">
        <f t="shared" si="47"/>
        <v>_</v>
      </c>
      <c r="H171" s="4"/>
      <c r="K171" s="4"/>
      <c r="L171" s="4"/>
      <c r="M171" s="4"/>
      <c r="N171" s="4"/>
      <c r="R171" s="6"/>
      <c r="S171" s="6"/>
      <c r="T171" s="6"/>
      <c r="U171" s="6"/>
      <c r="V171" s="4"/>
      <c r="W171" s="4"/>
      <c r="X171" s="4"/>
      <c r="AA171" s="9" t="e">
        <f t="shared" si="55"/>
        <v>#DIV/0!</v>
      </c>
      <c r="AB171" s="9" t="e">
        <f t="shared" si="56"/>
        <v>#DIV/0!</v>
      </c>
      <c r="AE171" s="7" t="e">
        <f t="shared" si="49"/>
        <v>#DIV/0!</v>
      </c>
      <c r="AF171" s="7" t="e">
        <f t="shared" si="50"/>
        <v>#DIV/0!</v>
      </c>
      <c r="AG171" s="7">
        <f t="shared" si="57"/>
        <v>0</v>
      </c>
      <c r="AH171" s="7">
        <f t="shared" si="58"/>
        <v>0</v>
      </c>
      <c r="AI171" s="7" t="e">
        <f t="shared" si="51"/>
        <v>#DIV/0!</v>
      </c>
      <c r="AJ171" s="7" t="e">
        <f t="shared" si="52"/>
        <v>#DIV/0!</v>
      </c>
      <c r="AK171" s="7" t="e">
        <f t="shared" si="53"/>
        <v>#DIV/0!</v>
      </c>
      <c r="AL171" s="7" t="e">
        <f t="shared" si="54"/>
        <v>#DIV/0!</v>
      </c>
    </row>
    <row r="172" spans="1:38" s="3" customFormat="1" ht="17" customHeight="1" x14ac:dyDescent="0.2">
      <c r="A172" s="5">
        <f t="shared" si="48"/>
        <v>166</v>
      </c>
      <c r="B172" s="5"/>
      <c r="C172" s="5"/>
      <c r="E172" s="4"/>
      <c r="F172" s="4"/>
      <c r="G172" s="4" t="str">
        <f t="shared" si="47"/>
        <v>_</v>
      </c>
      <c r="H172" s="4"/>
      <c r="K172" s="4"/>
      <c r="L172" s="4"/>
      <c r="M172" s="4"/>
      <c r="N172" s="4"/>
      <c r="R172" s="6"/>
      <c r="S172" s="6"/>
      <c r="T172" s="6"/>
      <c r="U172" s="6"/>
      <c r="V172" s="4"/>
      <c r="W172" s="4"/>
      <c r="X172" s="4"/>
      <c r="AA172" s="9" t="e">
        <f t="shared" si="55"/>
        <v>#DIV/0!</v>
      </c>
      <c r="AB172" s="9" t="e">
        <f t="shared" si="56"/>
        <v>#DIV/0!</v>
      </c>
      <c r="AE172" s="7" t="e">
        <f t="shared" si="49"/>
        <v>#DIV/0!</v>
      </c>
      <c r="AF172" s="7" t="e">
        <f t="shared" si="50"/>
        <v>#DIV/0!</v>
      </c>
      <c r="AG172" s="7">
        <f t="shared" si="57"/>
        <v>0</v>
      </c>
      <c r="AH172" s="7">
        <f t="shared" si="58"/>
        <v>0</v>
      </c>
      <c r="AI172" s="7" t="e">
        <f t="shared" si="51"/>
        <v>#DIV/0!</v>
      </c>
      <c r="AJ172" s="7" t="e">
        <f t="shared" si="52"/>
        <v>#DIV/0!</v>
      </c>
      <c r="AK172" s="7" t="e">
        <f t="shared" si="53"/>
        <v>#DIV/0!</v>
      </c>
      <c r="AL172" s="7" t="e">
        <f t="shared" si="54"/>
        <v>#DIV/0!</v>
      </c>
    </row>
    <row r="173" spans="1:38" s="3" customFormat="1" ht="17" customHeight="1" x14ac:dyDescent="0.2">
      <c r="A173" s="5">
        <f t="shared" si="48"/>
        <v>167</v>
      </c>
      <c r="B173" s="5"/>
      <c r="C173" s="5"/>
      <c r="E173" s="4"/>
      <c r="F173" s="4"/>
      <c r="G173" s="4" t="str">
        <f t="shared" si="47"/>
        <v>_</v>
      </c>
      <c r="H173" s="4"/>
      <c r="K173" s="4"/>
      <c r="L173" s="4"/>
      <c r="M173" s="4"/>
      <c r="N173" s="4"/>
      <c r="R173" s="6"/>
      <c r="S173" s="6"/>
      <c r="T173" s="6"/>
      <c r="U173" s="6"/>
      <c r="V173" s="4"/>
      <c r="W173" s="4"/>
      <c r="X173" s="4"/>
      <c r="AA173" s="9" t="e">
        <f t="shared" si="55"/>
        <v>#DIV/0!</v>
      </c>
      <c r="AB173" s="9" t="e">
        <f t="shared" si="56"/>
        <v>#DIV/0!</v>
      </c>
      <c r="AE173" s="7" t="e">
        <f t="shared" si="49"/>
        <v>#DIV/0!</v>
      </c>
      <c r="AF173" s="7" t="e">
        <f t="shared" si="50"/>
        <v>#DIV/0!</v>
      </c>
      <c r="AG173" s="7">
        <f t="shared" si="57"/>
        <v>0</v>
      </c>
      <c r="AH173" s="7">
        <f t="shared" si="58"/>
        <v>0</v>
      </c>
      <c r="AI173" s="7" t="e">
        <f t="shared" si="51"/>
        <v>#DIV/0!</v>
      </c>
      <c r="AJ173" s="7" t="e">
        <f t="shared" si="52"/>
        <v>#DIV/0!</v>
      </c>
      <c r="AK173" s="7" t="e">
        <f t="shared" si="53"/>
        <v>#DIV/0!</v>
      </c>
      <c r="AL173" s="7" t="e">
        <f t="shared" si="54"/>
        <v>#DIV/0!</v>
      </c>
    </row>
    <row r="174" spans="1:38" s="3" customFormat="1" ht="17" customHeight="1" x14ac:dyDescent="0.2">
      <c r="A174" s="5">
        <f t="shared" si="48"/>
        <v>168</v>
      </c>
      <c r="B174" s="5"/>
      <c r="C174" s="5"/>
      <c r="E174" s="4"/>
      <c r="F174" s="4"/>
      <c r="G174" s="4" t="str">
        <f t="shared" si="47"/>
        <v>_</v>
      </c>
      <c r="H174" s="4"/>
      <c r="K174" s="4"/>
      <c r="L174" s="4"/>
      <c r="M174" s="4"/>
      <c r="N174" s="4"/>
      <c r="R174" s="6"/>
      <c r="S174" s="6"/>
      <c r="T174" s="6"/>
      <c r="U174" s="6"/>
      <c r="V174" s="4"/>
      <c r="W174" s="4"/>
      <c r="X174" s="4"/>
      <c r="AA174" s="9" t="e">
        <f t="shared" si="55"/>
        <v>#DIV/0!</v>
      </c>
      <c r="AB174" s="9" t="e">
        <f t="shared" si="56"/>
        <v>#DIV/0!</v>
      </c>
      <c r="AE174" s="7" t="e">
        <f t="shared" si="49"/>
        <v>#DIV/0!</v>
      </c>
      <c r="AF174" s="7" t="e">
        <f t="shared" si="50"/>
        <v>#DIV/0!</v>
      </c>
      <c r="AG174" s="7">
        <f t="shared" si="57"/>
        <v>0</v>
      </c>
      <c r="AH174" s="7">
        <f t="shared" si="58"/>
        <v>0</v>
      </c>
      <c r="AI174" s="7" t="e">
        <f t="shared" si="51"/>
        <v>#DIV/0!</v>
      </c>
      <c r="AJ174" s="7" t="e">
        <f t="shared" si="52"/>
        <v>#DIV/0!</v>
      </c>
      <c r="AK174" s="7" t="e">
        <f t="shared" si="53"/>
        <v>#DIV/0!</v>
      </c>
      <c r="AL174" s="7" t="e">
        <f t="shared" si="54"/>
        <v>#DIV/0!</v>
      </c>
    </row>
    <row r="175" spans="1:38" s="3" customFormat="1" ht="17" customHeight="1" x14ac:dyDescent="0.2">
      <c r="A175" s="5">
        <f t="shared" si="48"/>
        <v>169</v>
      </c>
      <c r="B175" s="5"/>
      <c r="C175" s="5"/>
      <c r="E175" s="4"/>
      <c r="F175" s="4"/>
      <c r="G175" s="4" t="str">
        <f t="shared" si="47"/>
        <v>_</v>
      </c>
      <c r="H175" s="4"/>
      <c r="K175" s="4"/>
      <c r="L175" s="4"/>
      <c r="M175" s="4"/>
      <c r="N175" s="4"/>
      <c r="R175" s="6"/>
      <c r="S175" s="6"/>
      <c r="T175" s="6"/>
      <c r="U175" s="6"/>
      <c r="V175" s="4"/>
      <c r="W175" s="4"/>
      <c r="X175" s="4"/>
      <c r="AA175" s="9" t="e">
        <f t="shared" si="55"/>
        <v>#DIV/0!</v>
      </c>
      <c r="AB175" s="9" t="e">
        <f t="shared" si="56"/>
        <v>#DIV/0!</v>
      </c>
      <c r="AE175" s="7" t="e">
        <f t="shared" si="49"/>
        <v>#DIV/0!</v>
      </c>
      <c r="AF175" s="7" t="e">
        <f t="shared" si="50"/>
        <v>#DIV/0!</v>
      </c>
      <c r="AG175" s="7">
        <f t="shared" si="57"/>
        <v>0</v>
      </c>
      <c r="AH175" s="7">
        <f t="shared" si="58"/>
        <v>0</v>
      </c>
      <c r="AI175" s="7" t="e">
        <f t="shared" si="51"/>
        <v>#DIV/0!</v>
      </c>
      <c r="AJ175" s="7" t="e">
        <f t="shared" si="52"/>
        <v>#DIV/0!</v>
      </c>
      <c r="AK175" s="7" t="e">
        <f t="shared" si="53"/>
        <v>#DIV/0!</v>
      </c>
      <c r="AL175" s="7" t="e">
        <f t="shared" si="54"/>
        <v>#DIV/0!</v>
      </c>
    </row>
    <row r="176" spans="1:38" s="3" customFormat="1" ht="17" customHeight="1" x14ac:dyDescent="0.2">
      <c r="A176" s="5">
        <f t="shared" si="48"/>
        <v>170</v>
      </c>
      <c r="B176" s="5"/>
      <c r="C176" s="5"/>
      <c r="E176" s="4"/>
      <c r="F176" s="4"/>
      <c r="G176" s="4" t="str">
        <f t="shared" si="47"/>
        <v>_</v>
      </c>
      <c r="H176" s="4"/>
      <c r="K176" s="4"/>
      <c r="L176" s="4"/>
      <c r="M176" s="4"/>
      <c r="N176" s="4"/>
      <c r="R176" s="6"/>
      <c r="S176" s="6"/>
      <c r="T176" s="6"/>
      <c r="U176" s="6"/>
      <c r="V176" s="4"/>
      <c r="W176" s="4"/>
      <c r="X176" s="4"/>
      <c r="AA176" s="9" t="e">
        <f t="shared" si="55"/>
        <v>#DIV/0!</v>
      </c>
      <c r="AB176" s="9" t="e">
        <f t="shared" si="56"/>
        <v>#DIV/0!</v>
      </c>
      <c r="AE176" s="7" t="e">
        <f t="shared" si="49"/>
        <v>#DIV/0!</v>
      </c>
      <c r="AF176" s="7" t="e">
        <f t="shared" si="50"/>
        <v>#DIV/0!</v>
      </c>
      <c r="AG176" s="7">
        <f t="shared" si="57"/>
        <v>0</v>
      </c>
      <c r="AH176" s="7">
        <f t="shared" si="58"/>
        <v>0</v>
      </c>
      <c r="AI176" s="7" t="e">
        <f t="shared" si="51"/>
        <v>#DIV/0!</v>
      </c>
      <c r="AJ176" s="7" t="e">
        <f t="shared" si="52"/>
        <v>#DIV/0!</v>
      </c>
      <c r="AK176" s="7" t="e">
        <f t="shared" si="53"/>
        <v>#DIV/0!</v>
      </c>
      <c r="AL176" s="7" t="e">
        <f t="shared" si="54"/>
        <v>#DIV/0!</v>
      </c>
    </row>
    <row r="177" spans="1:38" s="3" customFormat="1" ht="17" customHeight="1" x14ac:dyDescent="0.2">
      <c r="A177" s="5">
        <f t="shared" si="48"/>
        <v>171</v>
      </c>
      <c r="B177" s="5"/>
      <c r="C177" s="5"/>
      <c r="E177" s="4"/>
      <c r="F177" s="4"/>
      <c r="G177" s="4" t="str">
        <f t="shared" si="47"/>
        <v>_</v>
      </c>
      <c r="H177" s="4"/>
      <c r="K177" s="4"/>
      <c r="L177" s="4"/>
      <c r="M177" s="4"/>
      <c r="N177" s="4"/>
      <c r="R177" s="6"/>
      <c r="S177" s="6"/>
      <c r="T177" s="6"/>
      <c r="U177" s="6"/>
      <c r="V177" s="4"/>
      <c r="W177" s="4"/>
      <c r="X177" s="4"/>
      <c r="AA177" s="9" t="e">
        <f t="shared" si="55"/>
        <v>#DIV/0!</v>
      </c>
      <c r="AB177" s="9" t="e">
        <f t="shared" si="56"/>
        <v>#DIV/0!</v>
      </c>
      <c r="AE177" s="7" t="e">
        <f t="shared" si="49"/>
        <v>#DIV/0!</v>
      </c>
      <c r="AF177" s="7" t="e">
        <f t="shared" si="50"/>
        <v>#DIV/0!</v>
      </c>
      <c r="AG177" s="7">
        <f t="shared" si="57"/>
        <v>0</v>
      </c>
      <c r="AH177" s="7">
        <f t="shared" si="58"/>
        <v>0</v>
      </c>
      <c r="AI177" s="7" t="e">
        <f t="shared" si="51"/>
        <v>#DIV/0!</v>
      </c>
      <c r="AJ177" s="7" t="e">
        <f t="shared" si="52"/>
        <v>#DIV/0!</v>
      </c>
      <c r="AK177" s="7" t="e">
        <f t="shared" si="53"/>
        <v>#DIV/0!</v>
      </c>
      <c r="AL177" s="7" t="e">
        <f t="shared" si="54"/>
        <v>#DIV/0!</v>
      </c>
    </row>
    <row r="178" spans="1:38" s="3" customFormat="1" ht="17" customHeight="1" x14ac:dyDescent="0.2">
      <c r="A178" s="5">
        <f t="shared" si="48"/>
        <v>172</v>
      </c>
      <c r="B178" s="5"/>
      <c r="C178" s="5"/>
      <c r="E178" s="4"/>
      <c r="F178" s="4"/>
      <c r="G178" s="4" t="str">
        <f t="shared" si="47"/>
        <v>_</v>
      </c>
      <c r="H178" s="4"/>
      <c r="K178" s="4"/>
      <c r="L178" s="4"/>
      <c r="M178" s="4"/>
      <c r="N178" s="4"/>
      <c r="R178" s="6"/>
      <c r="S178" s="6"/>
      <c r="T178" s="6"/>
      <c r="U178" s="6"/>
      <c r="V178" s="4"/>
      <c r="W178" s="4"/>
      <c r="X178" s="4"/>
      <c r="AA178" s="9" t="e">
        <f t="shared" si="55"/>
        <v>#DIV/0!</v>
      </c>
      <c r="AB178" s="9" t="e">
        <f t="shared" si="56"/>
        <v>#DIV/0!</v>
      </c>
      <c r="AE178" s="7" t="e">
        <f t="shared" si="49"/>
        <v>#DIV/0!</v>
      </c>
      <c r="AF178" s="7" t="e">
        <f t="shared" si="50"/>
        <v>#DIV/0!</v>
      </c>
      <c r="AG178" s="7">
        <f t="shared" si="57"/>
        <v>0</v>
      </c>
      <c r="AH178" s="7">
        <f t="shared" si="58"/>
        <v>0</v>
      </c>
      <c r="AI178" s="7" t="e">
        <f t="shared" si="51"/>
        <v>#DIV/0!</v>
      </c>
      <c r="AJ178" s="7" t="e">
        <f t="shared" si="52"/>
        <v>#DIV/0!</v>
      </c>
      <c r="AK178" s="7" t="e">
        <f t="shared" si="53"/>
        <v>#DIV/0!</v>
      </c>
      <c r="AL178" s="7" t="e">
        <f t="shared" si="54"/>
        <v>#DIV/0!</v>
      </c>
    </row>
    <row r="179" spans="1:38" s="3" customFormat="1" ht="17" customHeight="1" x14ac:dyDescent="0.2">
      <c r="A179" s="5">
        <f t="shared" si="48"/>
        <v>173</v>
      </c>
      <c r="B179" s="5"/>
      <c r="C179" s="5"/>
      <c r="E179" s="4"/>
      <c r="F179" s="4"/>
      <c r="G179" s="4" t="str">
        <f t="shared" si="47"/>
        <v>_</v>
      </c>
      <c r="H179" s="4"/>
      <c r="K179" s="4"/>
      <c r="L179" s="4"/>
      <c r="M179" s="4"/>
      <c r="N179" s="4"/>
      <c r="R179" s="6"/>
      <c r="S179" s="6"/>
      <c r="T179" s="6"/>
      <c r="U179" s="6"/>
      <c r="V179" s="4"/>
      <c r="W179" s="4"/>
      <c r="X179" s="4"/>
      <c r="AA179" s="9" t="e">
        <f t="shared" si="55"/>
        <v>#DIV/0!</v>
      </c>
      <c r="AB179" s="9" t="e">
        <f t="shared" si="56"/>
        <v>#DIV/0!</v>
      </c>
      <c r="AE179" s="7" t="e">
        <f t="shared" si="49"/>
        <v>#DIV/0!</v>
      </c>
      <c r="AF179" s="7" t="e">
        <f t="shared" si="50"/>
        <v>#DIV/0!</v>
      </c>
      <c r="AG179" s="7">
        <f t="shared" si="57"/>
        <v>0</v>
      </c>
      <c r="AH179" s="7">
        <f t="shared" si="58"/>
        <v>0</v>
      </c>
      <c r="AI179" s="7" t="e">
        <f t="shared" si="51"/>
        <v>#DIV/0!</v>
      </c>
      <c r="AJ179" s="7" t="e">
        <f t="shared" si="52"/>
        <v>#DIV/0!</v>
      </c>
      <c r="AK179" s="7" t="e">
        <f t="shared" si="53"/>
        <v>#DIV/0!</v>
      </c>
      <c r="AL179" s="7" t="e">
        <f t="shared" si="54"/>
        <v>#DIV/0!</v>
      </c>
    </row>
    <row r="180" spans="1:38" s="3" customFormat="1" ht="17" customHeight="1" x14ac:dyDescent="0.2">
      <c r="A180" s="5">
        <f t="shared" si="48"/>
        <v>174</v>
      </c>
      <c r="B180" s="5"/>
      <c r="C180" s="5"/>
      <c r="E180" s="4"/>
      <c r="F180" s="4"/>
      <c r="G180" s="4" t="str">
        <f t="shared" si="47"/>
        <v>_</v>
      </c>
      <c r="H180" s="4"/>
      <c r="K180" s="4"/>
      <c r="L180" s="4"/>
      <c r="M180" s="4"/>
      <c r="N180" s="4"/>
      <c r="R180" s="6"/>
      <c r="S180" s="6"/>
      <c r="T180" s="6"/>
      <c r="U180" s="6"/>
      <c r="V180" s="4"/>
      <c r="W180" s="4"/>
      <c r="X180" s="4"/>
      <c r="AA180" s="9" t="e">
        <f t="shared" si="55"/>
        <v>#DIV/0!</v>
      </c>
      <c r="AB180" s="9" t="e">
        <f t="shared" si="56"/>
        <v>#DIV/0!</v>
      </c>
      <c r="AE180" s="7" t="e">
        <f t="shared" si="49"/>
        <v>#DIV/0!</v>
      </c>
      <c r="AF180" s="7" t="e">
        <f t="shared" si="50"/>
        <v>#DIV/0!</v>
      </c>
      <c r="AG180" s="7">
        <f t="shared" si="57"/>
        <v>0</v>
      </c>
      <c r="AH180" s="7">
        <f t="shared" si="58"/>
        <v>0</v>
      </c>
      <c r="AI180" s="7" t="e">
        <f t="shared" si="51"/>
        <v>#DIV/0!</v>
      </c>
      <c r="AJ180" s="7" t="e">
        <f t="shared" si="52"/>
        <v>#DIV/0!</v>
      </c>
      <c r="AK180" s="7" t="e">
        <f t="shared" si="53"/>
        <v>#DIV/0!</v>
      </c>
      <c r="AL180" s="7" t="e">
        <f t="shared" si="54"/>
        <v>#DIV/0!</v>
      </c>
    </row>
    <row r="181" spans="1:38" s="3" customFormat="1" ht="17" customHeight="1" x14ac:dyDescent="0.2">
      <c r="A181" s="5">
        <f t="shared" si="48"/>
        <v>175</v>
      </c>
      <c r="B181" s="5"/>
      <c r="C181" s="5"/>
      <c r="E181" s="4"/>
      <c r="F181" s="4"/>
      <c r="G181" s="4" t="str">
        <f t="shared" si="47"/>
        <v>_</v>
      </c>
      <c r="H181" s="4"/>
      <c r="K181" s="4"/>
      <c r="L181" s="4"/>
      <c r="M181" s="4"/>
      <c r="N181" s="4"/>
      <c r="R181" s="6"/>
      <c r="S181" s="6"/>
      <c r="T181" s="6"/>
      <c r="U181" s="6"/>
      <c r="V181" s="4"/>
      <c r="W181" s="4"/>
      <c r="X181" s="4"/>
      <c r="AA181" s="9" t="e">
        <f t="shared" si="55"/>
        <v>#DIV/0!</v>
      </c>
      <c r="AB181" s="9" t="e">
        <f t="shared" si="56"/>
        <v>#DIV/0!</v>
      </c>
      <c r="AE181" s="7" t="e">
        <f t="shared" si="49"/>
        <v>#DIV/0!</v>
      </c>
      <c r="AF181" s="7" t="e">
        <f t="shared" si="50"/>
        <v>#DIV/0!</v>
      </c>
      <c r="AG181" s="7">
        <f t="shared" si="57"/>
        <v>0</v>
      </c>
      <c r="AH181" s="7">
        <f t="shared" si="58"/>
        <v>0</v>
      </c>
      <c r="AI181" s="7" t="e">
        <f t="shared" si="51"/>
        <v>#DIV/0!</v>
      </c>
      <c r="AJ181" s="7" t="e">
        <f t="shared" si="52"/>
        <v>#DIV/0!</v>
      </c>
      <c r="AK181" s="7" t="e">
        <f t="shared" si="53"/>
        <v>#DIV/0!</v>
      </c>
      <c r="AL181" s="7" t="e">
        <f t="shared" si="54"/>
        <v>#DIV/0!</v>
      </c>
    </row>
    <row r="182" spans="1:38" s="3" customFormat="1" ht="17" customHeight="1" x14ac:dyDescent="0.2">
      <c r="A182" s="5">
        <f t="shared" si="48"/>
        <v>176</v>
      </c>
      <c r="B182" s="5"/>
      <c r="C182" s="5"/>
      <c r="E182" s="4"/>
      <c r="F182" s="4"/>
      <c r="G182" s="4" t="str">
        <f t="shared" si="47"/>
        <v>_</v>
      </c>
      <c r="H182" s="4"/>
      <c r="K182" s="4"/>
      <c r="L182" s="4"/>
      <c r="M182" s="4"/>
      <c r="N182" s="4"/>
      <c r="R182" s="6"/>
      <c r="S182" s="6"/>
      <c r="T182" s="6"/>
      <c r="U182" s="6"/>
      <c r="V182" s="4"/>
      <c r="W182" s="4"/>
      <c r="X182" s="4"/>
      <c r="AA182" s="9" t="e">
        <f t="shared" si="55"/>
        <v>#DIV/0!</v>
      </c>
      <c r="AB182" s="9" t="e">
        <f t="shared" si="56"/>
        <v>#DIV/0!</v>
      </c>
      <c r="AE182" s="7" t="e">
        <f t="shared" si="49"/>
        <v>#DIV/0!</v>
      </c>
      <c r="AF182" s="7" t="e">
        <f t="shared" si="50"/>
        <v>#DIV/0!</v>
      </c>
      <c r="AG182" s="7">
        <f t="shared" si="57"/>
        <v>0</v>
      </c>
      <c r="AH182" s="7">
        <f t="shared" si="58"/>
        <v>0</v>
      </c>
      <c r="AI182" s="7" t="e">
        <f t="shared" si="51"/>
        <v>#DIV/0!</v>
      </c>
      <c r="AJ182" s="7" t="e">
        <f t="shared" si="52"/>
        <v>#DIV/0!</v>
      </c>
      <c r="AK182" s="7" t="e">
        <f t="shared" si="53"/>
        <v>#DIV/0!</v>
      </c>
      <c r="AL182" s="7" t="e">
        <f t="shared" si="54"/>
        <v>#DIV/0!</v>
      </c>
    </row>
    <row r="183" spans="1:38" s="3" customFormat="1" ht="17" customHeight="1" x14ac:dyDescent="0.2">
      <c r="A183" s="5">
        <f t="shared" si="48"/>
        <v>177</v>
      </c>
      <c r="B183" s="5"/>
      <c r="C183" s="5"/>
      <c r="E183" s="4"/>
      <c r="F183" s="4"/>
      <c r="G183" s="4" t="str">
        <f t="shared" si="47"/>
        <v>_</v>
      </c>
      <c r="H183" s="4"/>
      <c r="K183" s="4"/>
      <c r="L183" s="4"/>
      <c r="M183" s="4"/>
      <c r="N183" s="4"/>
      <c r="R183" s="6"/>
      <c r="S183" s="6"/>
      <c r="T183" s="6"/>
      <c r="U183" s="6"/>
      <c r="V183" s="4"/>
      <c r="W183" s="4"/>
      <c r="X183" s="4"/>
      <c r="AA183" s="9" t="e">
        <f t="shared" si="55"/>
        <v>#DIV/0!</v>
      </c>
      <c r="AB183" s="9" t="e">
        <f t="shared" si="56"/>
        <v>#DIV/0!</v>
      </c>
      <c r="AE183" s="7" t="e">
        <f t="shared" si="49"/>
        <v>#DIV/0!</v>
      </c>
      <c r="AF183" s="7" t="e">
        <f t="shared" si="50"/>
        <v>#DIV/0!</v>
      </c>
      <c r="AG183" s="7">
        <f t="shared" si="57"/>
        <v>0</v>
      </c>
      <c r="AH183" s="7">
        <f t="shared" si="58"/>
        <v>0</v>
      </c>
      <c r="AI183" s="7" t="e">
        <f t="shared" si="51"/>
        <v>#DIV/0!</v>
      </c>
      <c r="AJ183" s="7" t="e">
        <f t="shared" si="52"/>
        <v>#DIV/0!</v>
      </c>
      <c r="AK183" s="7" t="e">
        <f t="shared" si="53"/>
        <v>#DIV/0!</v>
      </c>
      <c r="AL183" s="7" t="e">
        <f t="shared" si="54"/>
        <v>#DIV/0!</v>
      </c>
    </row>
    <row r="184" spans="1:38" s="3" customFormat="1" ht="17" customHeight="1" x14ac:dyDescent="0.2">
      <c r="A184" s="5">
        <f t="shared" si="48"/>
        <v>178</v>
      </c>
      <c r="B184" s="5"/>
      <c r="C184" s="5"/>
      <c r="E184" s="4"/>
      <c r="F184" s="4"/>
      <c r="G184" s="4" t="str">
        <f t="shared" si="47"/>
        <v>_</v>
      </c>
      <c r="H184" s="4"/>
      <c r="K184" s="4"/>
      <c r="L184" s="4"/>
      <c r="M184" s="4"/>
      <c r="N184" s="4"/>
      <c r="R184" s="6"/>
      <c r="S184" s="6"/>
      <c r="T184" s="6"/>
      <c r="U184" s="6"/>
      <c r="V184" s="4"/>
      <c r="W184" s="4"/>
      <c r="X184" s="4"/>
      <c r="AA184" s="9" t="e">
        <f t="shared" si="55"/>
        <v>#DIV/0!</v>
      </c>
      <c r="AB184" s="9" t="e">
        <f t="shared" si="56"/>
        <v>#DIV/0!</v>
      </c>
      <c r="AE184" s="7" t="e">
        <f t="shared" si="49"/>
        <v>#DIV/0!</v>
      </c>
      <c r="AF184" s="7" t="e">
        <f t="shared" si="50"/>
        <v>#DIV/0!</v>
      </c>
      <c r="AG184" s="7">
        <f t="shared" si="57"/>
        <v>0</v>
      </c>
      <c r="AH184" s="7">
        <f t="shared" si="58"/>
        <v>0</v>
      </c>
      <c r="AI184" s="7" t="e">
        <f t="shared" si="51"/>
        <v>#DIV/0!</v>
      </c>
      <c r="AJ184" s="7" t="e">
        <f t="shared" si="52"/>
        <v>#DIV/0!</v>
      </c>
      <c r="AK184" s="7" t="e">
        <f t="shared" si="53"/>
        <v>#DIV/0!</v>
      </c>
      <c r="AL184" s="7" t="e">
        <f t="shared" si="54"/>
        <v>#DIV/0!</v>
      </c>
    </row>
    <row r="185" spans="1:38" s="3" customFormat="1" ht="17" customHeight="1" x14ac:dyDescent="0.2">
      <c r="A185" s="5">
        <f t="shared" si="48"/>
        <v>179</v>
      </c>
      <c r="B185" s="5"/>
      <c r="C185" s="5"/>
      <c r="E185" s="4"/>
      <c r="F185" s="4"/>
      <c r="G185" s="4" t="str">
        <f t="shared" si="47"/>
        <v>_</v>
      </c>
      <c r="H185" s="4"/>
      <c r="K185" s="4"/>
      <c r="L185" s="4"/>
      <c r="M185" s="4"/>
      <c r="N185" s="4"/>
      <c r="R185" s="6"/>
      <c r="S185" s="6"/>
      <c r="T185" s="6"/>
      <c r="U185" s="6"/>
      <c r="V185" s="4"/>
      <c r="W185" s="4"/>
      <c r="X185" s="4"/>
      <c r="AA185" s="9" t="e">
        <f t="shared" si="55"/>
        <v>#DIV/0!</v>
      </c>
      <c r="AB185" s="9" t="e">
        <f t="shared" si="56"/>
        <v>#DIV/0!</v>
      </c>
      <c r="AE185" s="7" t="e">
        <f t="shared" si="49"/>
        <v>#DIV/0!</v>
      </c>
      <c r="AF185" s="7" t="e">
        <f t="shared" si="50"/>
        <v>#DIV/0!</v>
      </c>
      <c r="AG185" s="7">
        <f t="shared" si="57"/>
        <v>0</v>
      </c>
      <c r="AH185" s="7">
        <f t="shared" si="58"/>
        <v>0</v>
      </c>
      <c r="AI185" s="7" t="e">
        <f t="shared" si="51"/>
        <v>#DIV/0!</v>
      </c>
      <c r="AJ185" s="7" t="e">
        <f t="shared" si="52"/>
        <v>#DIV/0!</v>
      </c>
      <c r="AK185" s="7" t="e">
        <f t="shared" si="53"/>
        <v>#DIV/0!</v>
      </c>
      <c r="AL185" s="7" t="e">
        <f t="shared" si="54"/>
        <v>#DIV/0!</v>
      </c>
    </row>
    <row r="186" spans="1:38" s="3" customFormat="1" ht="17" customHeight="1" x14ac:dyDescent="0.2">
      <c r="A186" s="5">
        <f t="shared" si="48"/>
        <v>180</v>
      </c>
      <c r="B186" s="5"/>
      <c r="C186" s="5"/>
      <c r="E186" s="4"/>
      <c r="F186" s="4"/>
      <c r="G186" s="4" t="str">
        <f t="shared" si="47"/>
        <v>_</v>
      </c>
      <c r="H186" s="4"/>
      <c r="K186" s="4"/>
      <c r="L186" s="4"/>
      <c r="M186" s="4"/>
      <c r="N186" s="4"/>
      <c r="R186" s="6"/>
      <c r="S186" s="6"/>
      <c r="T186" s="6"/>
      <c r="U186" s="6"/>
      <c r="V186" s="4"/>
      <c r="W186" s="4"/>
      <c r="X186" s="4"/>
      <c r="AA186" s="9" t="e">
        <f t="shared" si="55"/>
        <v>#DIV/0!</v>
      </c>
      <c r="AB186" s="9" t="e">
        <f t="shared" si="56"/>
        <v>#DIV/0!</v>
      </c>
      <c r="AE186" s="7" t="e">
        <f t="shared" si="49"/>
        <v>#DIV/0!</v>
      </c>
      <c r="AF186" s="7" t="e">
        <f t="shared" si="50"/>
        <v>#DIV/0!</v>
      </c>
      <c r="AG186" s="7">
        <f t="shared" si="57"/>
        <v>0</v>
      </c>
      <c r="AH186" s="7">
        <f t="shared" si="58"/>
        <v>0</v>
      </c>
      <c r="AI186" s="7" t="e">
        <f t="shared" si="51"/>
        <v>#DIV/0!</v>
      </c>
      <c r="AJ186" s="7" t="e">
        <f t="shared" si="52"/>
        <v>#DIV/0!</v>
      </c>
      <c r="AK186" s="7" t="e">
        <f t="shared" si="53"/>
        <v>#DIV/0!</v>
      </c>
      <c r="AL186" s="7" t="e">
        <f t="shared" si="54"/>
        <v>#DIV/0!</v>
      </c>
    </row>
    <row r="187" spans="1:38" s="3" customFormat="1" ht="17" customHeight="1" x14ac:dyDescent="0.2">
      <c r="A187" s="5">
        <f t="shared" si="48"/>
        <v>181</v>
      </c>
      <c r="B187" s="5"/>
      <c r="C187" s="5"/>
      <c r="E187" s="4"/>
      <c r="F187" s="4"/>
      <c r="G187" s="4" t="str">
        <f t="shared" si="47"/>
        <v>_</v>
      </c>
      <c r="H187" s="4"/>
      <c r="K187" s="4"/>
      <c r="L187" s="4"/>
      <c r="M187" s="4"/>
      <c r="N187" s="4"/>
      <c r="R187" s="6"/>
      <c r="S187" s="6"/>
      <c r="T187" s="6"/>
      <c r="U187" s="6"/>
      <c r="V187" s="4"/>
      <c r="W187" s="4"/>
      <c r="X187" s="4"/>
      <c r="AA187" s="9" t="e">
        <f t="shared" si="55"/>
        <v>#DIV/0!</v>
      </c>
      <c r="AB187" s="9" t="e">
        <f t="shared" si="56"/>
        <v>#DIV/0!</v>
      </c>
      <c r="AE187" s="7" t="e">
        <f t="shared" si="49"/>
        <v>#DIV/0!</v>
      </c>
      <c r="AF187" s="7" t="e">
        <f t="shared" si="50"/>
        <v>#DIV/0!</v>
      </c>
      <c r="AG187" s="7">
        <f t="shared" si="57"/>
        <v>0</v>
      </c>
      <c r="AH187" s="7">
        <f t="shared" si="58"/>
        <v>0</v>
      </c>
      <c r="AI187" s="7" t="e">
        <f t="shared" si="51"/>
        <v>#DIV/0!</v>
      </c>
      <c r="AJ187" s="7" t="e">
        <f t="shared" si="52"/>
        <v>#DIV/0!</v>
      </c>
      <c r="AK187" s="7" t="e">
        <f t="shared" si="53"/>
        <v>#DIV/0!</v>
      </c>
      <c r="AL187" s="7" t="e">
        <f t="shared" si="54"/>
        <v>#DIV/0!</v>
      </c>
    </row>
    <row r="188" spans="1:38" s="3" customFormat="1" ht="17" customHeight="1" x14ac:dyDescent="0.2">
      <c r="A188" s="5">
        <f t="shared" si="48"/>
        <v>182</v>
      </c>
      <c r="B188" s="5"/>
      <c r="C188" s="5"/>
      <c r="E188" s="4"/>
      <c r="F188" s="4"/>
      <c r="G188" s="4" t="str">
        <f t="shared" si="47"/>
        <v>_</v>
      </c>
      <c r="H188" s="4"/>
      <c r="K188" s="4"/>
      <c r="L188" s="4"/>
      <c r="M188" s="4"/>
      <c r="N188" s="4"/>
      <c r="R188" s="6"/>
      <c r="S188" s="6"/>
      <c r="T188" s="6"/>
      <c r="U188" s="6"/>
      <c r="V188" s="4"/>
      <c r="W188" s="4"/>
      <c r="X188" s="4"/>
      <c r="AA188" s="9" t="e">
        <f t="shared" si="55"/>
        <v>#DIV/0!</v>
      </c>
      <c r="AB188" s="9" t="e">
        <f t="shared" si="56"/>
        <v>#DIV/0!</v>
      </c>
      <c r="AE188" s="7" t="e">
        <f t="shared" si="49"/>
        <v>#DIV/0!</v>
      </c>
      <c r="AF188" s="7" t="e">
        <f t="shared" si="50"/>
        <v>#DIV/0!</v>
      </c>
      <c r="AG188" s="7">
        <f t="shared" si="57"/>
        <v>0</v>
      </c>
      <c r="AH188" s="7">
        <f t="shared" si="58"/>
        <v>0</v>
      </c>
      <c r="AI188" s="7" t="e">
        <f t="shared" si="51"/>
        <v>#DIV/0!</v>
      </c>
      <c r="AJ188" s="7" t="e">
        <f t="shared" si="52"/>
        <v>#DIV/0!</v>
      </c>
      <c r="AK188" s="7" t="e">
        <f t="shared" si="53"/>
        <v>#DIV/0!</v>
      </c>
      <c r="AL188" s="7" t="e">
        <f t="shared" si="54"/>
        <v>#DIV/0!</v>
      </c>
    </row>
  </sheetData>
  <phoneticPr fontId="6" type="noConversion"/>
  <conditionalFormatting sqref="AA3:AB188">
    <cfRule type="expression" dxfId="0" priority="1">
      <formula>AA3&lt;0.65</formula>
    </cfRule>
  </conditionalFormatting>
  <pageMargins left="0.75" right="0.75" top="1" bottom="1" header="0.5" footer="0.5"/>
  <pageSetup scale="67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</vt:lpstr>
      <vt:lpstr>master!Print_Area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JRM</dc:creator>
  <cp:lastModifiedBy>Daven Quinn</cp:lastModifiedBy>
  <dcterms:created xsi:type="dcterms:W3CDTF">2015-10-16T20:29:24Z</dcterms:created>
  <dcterms:modified xsi:type="dcterms:W3CDTF">2025-03-19T21:59:06Z</dcterms:modified>
</cp:coreProperties>
</file>