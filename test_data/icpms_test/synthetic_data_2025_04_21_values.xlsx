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C24BF1AC-5677-C04A-818A-1AB240EC2CB1}" xr6:coauthVersionLast="47" xr6:coauthVersionMax="47" xr10:uidLastSave="{00000000-0000-0000-0000-000000000000}"/>
  <bookViews>
    <workbookView xWindow="14600" yWindow="11760" windowWidth="27640" windowHeight="16940" xr2:uid="{B2FFEE73-7653-EB43-8267-ECB1A9954BE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 s="1"/>
  <c r="O4" i="1"/>
  <c r="O5" i="1" s="1"/>
  <c r="M4" i="1"/>
  <c r="M5" i="1" s="1"/>
  <c r="K4" i="1"/>
  <c r="L4" i="1" s="1"/>
  <c r="R3" i="1"/>
  <c r="P3" i="1"/>
  <c r="N3" i="1"/>
  <c r="L3" i="1"/>
  <c r="N5" i="1" l="1"/>
  <c r="M6" i="1"/>
  <c r="O6" i="1"/>
  <c r="P5" i="1"/>
  <c r="P4" i="1"/>
  <c r="N4" i="1"/>
  <c r="Q5" i="1"/>
  <c r="K5" i="1"/>
  <c r="L5" i="1" l="1"/>
  <c r="K6" i="1"/>
  <c r="Q6" i="1"/>
  <c r="R5" i="1"/>
  <c r="P6" i="1"/>
  <c r="O7" i="1"/>
  <c r="N6" i="1"/>
  <c r="M7" i="1"/>
  <c r="N7" i="1" l="1"/>
  <c r="M8" i="1"/>
  <c r="P7" i="1"/>
  <c r="O8" i="1"/>
  <c r="Q7" i="1"/>
  <c r="R6" i="1"/>
  <c r="L6" i="1"/>
  <c r="K7" i="1"/>
  <c r="K8" i="1" l="1"/>
  <c r="L7" i="1"/>
  <c r="R7" i="1"/>
  <c r="Q8" i="1"/>
  <c r="P8" i="1"/>
  <c r="O9" i="1"/>
  <c r="M9" i="1"/>
  <c r="N8" i="1"/>
  <c r="M10" i="1" l="1"/>
  <c r="N9" i="1"/>
  <c r="O10" i="1"/>
  <c r="P9" i="1"/>
  <c r="R8" i="1"/>
  <c r="Q9" i="1"/>
  <c r="K9" i="1"/>
  <c r="L8" i="1"/>
  <c r="L9" i="1" l="1"/>
  <c r="K10" i="1"/>
  <c r="R9" i="1"/>
  <c r="Q10" i="1"/>
  <c r="O11" i="1"/>
  <c r="P10" i="1"/>
  <c r="N10" i="1"/>
  <c r="M11" i="1"/>
  <c r="N11" i="1" l="1"/>
  <c r="M12" i="1"/>
  <c r="P11" i="1"/>
  <c r="O12" i="1"/>
  <c r="Q11" i="1"/>
  <c r="R10" i="1"/>
  <c r="L10" i="1"/>
  <c r="K11" i="1"/>
  <c r="L11" i="1" l="1"/>
  <c r="K12" i="1"/>
  <c r="Q12" i="1"/>
  <c r="R11" i="1"/>
  <c r="P12" i="1"/>
  <c r="O13" i="1"/>
  <c r="N12" i="1"/>
  <c r="M13" i="1"/>
  <c r="M14" i="1" l="1"/>
  <c r="N13" i="1"/>
  <c r="P13" i="1"/>
  <c r="O14" i="1"/>
  <c r="R12" i="1"/>
  <c r="Q13" i="1"/>
  <c r="K13" i="1"/>
  <c r="L12" i="1"/>
  <c r="K14" i="1" l="1"/>
  <c r="L13" i="1"/>
  <c r="R13" i="1"/>
  <c r="Q14" i="1"/>
  <c r="O15" i="1"/>
  <c r="P14" i="1"/>
  <c r="M15" i="1"/>
  <c r="N14" i="1"/>
  <c r="N15" i="1" l="1"/>
  <c r="M16" i="1"/>
  <c r="O16" i="1"/>
  <c r="P15" i="1"/>
  <c r="R14" i="1"/>
  <c r="Q15" i="1"/>
  <c r="L14" i="1"/>
  <c r="K15" i="1"/>
  <c r="Q16" i="1" l="1"/>
  <c r="R15" i="1"/>
  <c r="L15" i="1"/>
  <c r="K16" i="1"/>
  <c r="P16" i="1"/>
  <c r="O17" i="1"/>
  <c r="N16" i="1"/>
  <c r="M17" i="1"/>
  <c r="N17" i="1" l="1"/>
  <c r="M18" i="1"/>
  <c r="P17" i="1"/>
  <c r="O18" i="1"/>
  <c r="L16" i="1"/>
  <c r="K17" i="1"/>
  <c r="Q17" i="1"/>
  <c r="R16" i="1"/>
  <c r="R17" i="1" l="1"/>
  <c r="Q18" i="1"/>
  <c r="K18" i="1"/>
  <c r="L17" i="1"/>
  <c r="P18" i="1"/>
  <c r="O19" i="1"/>
  <c r="M19" i="1"/>
  <c r="N18" i="1"/>
  <c r="M20" i="1" l="1"/>
  <c r="N19" i="1"/>
  <c r="O20" i="1"/>
  <c r="P19" i="1"/>
  <c r="K19" i="1"/>
  <c r="L18" i="1"/>
  <c r="R18" i="1"/>
  <c r="Q19" i="1"/>
  <c r="R19" i="1" l="1"/>
  <c r="Q20" i="1"/>
  <c r="L19" i="1"/>
  <c r="K20" i="1"/>
  <c r="O21" i="1"/>
  <c r="P20" i="1"/>
  <c r="N20" i="1"/>
  <c r="M21" i="1"/>
  <c r="N21" i="1" l="1"/>
  <c r="M22" i="1"/>
  <c r="N22" i="1" s="1"/>
  <c r="P21" i="1"/>
  <c r="O22" i="1"/>
  <c r="P22" i="1" s="1"/>
  <c r="L20" i="1"/>
  <c r="K21" i="1"/>
  <c r="Q21" i="1"/>
  <c r="R20" i="1"/>
  <c r="L21" i="1" l="1"/>
  <c r="K22" i="1"/>
  <c r="L22" i="1" s="1"/>
  <c r="Q22" i="1"/>
  <c r="R22" i="1" s="1"/>
  <c r="R21" i="1"/>
</calcChain>
</file>

<file path=xl/sharedStrings.xml><?xml version="1.0" encoding="utf-8"?>
<sst xmlns="http://schemas.openxmlformats.org/spreadsheetml/2006/main" count="123" uniqueCount="55">
  <si>
    <t>Packet Identifier</t>
  </si>
  <si>
    <t>Mineral</t>
  </si>
  <si>
    <t>Geometry</t>
  </si>
  <si>
    <t>Shard? (Y/N)</t>
  </si>
  <si>
    <t>Np</t>
  </si>
  <si>
    <t>apatite_0421_01</t>
  </si>
  <si>
    <t>a</t>
  </si>
  <si>
    <t>4</t>
  </si>
  <si>
    <t>N</t>
  </si>
  <si>
    <t>apatite_0421_02</t>
  </si>
  <si>
    <t>apatite_0421_03</t>
  </si>
  <si>
    <t>apatite_0421_04</t>
  </si>
  <si>
    <t>1</t>
  </si>
  <si>
    <t>apatite_0421_05</t>
  </si>
  <si>
    <t>apatite_0421_06</t>
  </si>
  <si>
    <t>apatite_0421_07</t>
  </si>
  <si>
    <t>apatite_0421_08</t>
  </si>
  <si>
    <t>apatite_0421_09</t>
  </si>
  <si>
    <t>apatite_0421_10</t>
  </si>
  <si>
    <t>zircon_0421_01</t>
  </si>
  <si>
    <t>z</t>
  </si>
  <si>
    <t>3</t>
  </si>
  <si>
    <t>zircon_0421_02</t>
  </si>
  <si>
    <t>zircon_0421_03</t>
  </si>
  <si>
    <t>zircon_0421_04</t>
  </si>
  <si>
    <t>zircon_0421_05</t>
  </si>
  <si>
    <t>zircon_0421_06</t>
  </si>
  <si>
    <t>zircon_0421_07</t>
  </si>
  <si>
    <t>zircon_0421_08</t>
  </si>
  <si>
    <t>zircon_0421_09</t>
  </si>
  <si>
    <t>zircon_0421_10</t>
  </si>
  <si>
    <t>Length 1</t>
  </si>
  <si>
    <t>Width 1</t>
  </si>
  <si>
    <t>Length 2</t>
  </si>
  <si>
    <t>Width 2</t>
  </si>
  <si>
    <t>Ft 238U</t>
  </si>
  <si>
    <t>Ft 235U</t>
  </si>
  <si>
    <t>Ft 232Th</t>
  </si>
  <si>
    <t>Ft 147Sm</t>
  </si>
  <si>
    <t>Corrected Values and Uncertainties</t>
  </si>
  <si>
    <t>+/-</t>
  </si>
  <si>
    <t>Corr V</t>
  </si>
  <si>
    <t>±</t>
  </si>
  <si>
    <t>V</t>
  </si>
  <si>
    <r>
      <t>ESR_Ft (</t>
    </r>
    <r>
      <rPr>
        <b/>
        <sz val="10"/>
        <rFont val="Symbol"/>
        <charset val="2"/>
      </rPr>
      <t>m</t>
    </r>
    <r>
      <rPr>
        <b/>
        <sz val="10"/>
        <rFont val="Helv"/>
      </rPr>
      <t>m)</t>
    </r>
  </si>
  <si>
    <t>Raw date</t>
  </si>
  <si>
    <t>Linear raw 1σ uncertainty</t>
  </si>
  <si>
    <t>Corrected date</t>
  </si>
  <si>
    <t>Linear corrected 1σ uncertainty</t>
  </si>
  <si>
    <t>mol 4He</t>
  </si>
  <si>
    <t>mol 238U</t>
  </si>
  <si>
    <t>mol 232Th</t>
  </si>
  <si>
    <t>mol 147Sm</t>
  </si>
  <si>
    <t>FT_bar</t>
  </si>
  <si>
    <t>Uncorrected Values (apatites use max width)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</si>
</sst>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E+00"/>
    <numFmt numFmtId="167" formatCode="0.0000"/>
  </numFmts>
  <fonts count="5">
    <font>
      <sz val="12"/>
      <color theme="1"/>
      <name val="Aptos Narrow"/>
      <family val="2"/>
      <scheme val="minor"/>
    </font>
    <font>
      <b/>
      <sz val="10"/>
      <name val="Helv"/>
    </font>
    <font>
      <sz val="10"/>
      <color theme="1"/>
      <name val="Helv"/>
    </font>
    <font>
      <b/>
      <sz val="10"/>
      <name val="Symbol"/>
      <charset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166" fontId="1" fillId="3" borderId="0" xfId="0" applyNumberFormat="1" applyFont="1" applyFill="1" applyAlignment="1">
      <alignment horizontal="center" vertical="center" wrapText="1"/>
    </xf>
    <xf numFmtId="167" fontId="0" fillId="3" borderId="0" xfId="0" applyNumberFormat="1" applyFill="1" applyAlignment="1">
      <alignment horizontal="right"/>
    </xf>
    <xf numFmtId="2" fontId="0" fillId="3" borderId="0" xfId="0" applyNumberFormat="1" applyFill="1"/>
    <xf numFmtId="164" fontId="0" fillId="3" borderId="0" xfId="0" applyNumberForma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quotePrefix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2" fontId="0" fillId="2" borderId="0" xfId="0" applyNumberFormat="1" applyFill="1"/>
    <xf numFmtId="164" fontId="0" fillId="2" borderId="0" xfId="0" applyNumberFormat="1" applyFill="1"/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7D02-9AF3-894B-AEAF-106196E647A4}">
  <dimension ref="A1:AT22"/>
  <sheetViews>
    <sheetView tabSelected="1" topLeftCell="Y1" workbookViewId="0">
      <selection activeCell="AD5" sqref="AD5"/>
    </sheetView>
  </sheetViews>
  <sheetFormatPr baseColWidth="10" defaultRowHeight="16"/>
  <cols>
    <col min="1" max="1" width="19.6640625" customWidth="1"/>
    <col min="26" max="26" width="12.5" customWidth="1"/>
    <col min="27" max="27" width="11.83203125" customWidth="1"/>
    <col min="40" max="40" width="11.6640625" bestFit="1" customWidth="1"/>
    <col min="41" max="41" width="11" bestFit="1" customWidth="1"/>
    <col min="42" max="42" width="10.83203125" style="4"/>
  </cols>
  <sheetData>
    <row r="1" spans="1:46" ht="25" customHeight="1">
      <c r="V1" s="11" t="s">
        <v>54</v>
      </c>
      <c r="W1" s="11"/>
      <c r="X1" s="11"/>
      <c r="Y1" s="11"/>
      <c r="Z1" s="11"/>
      <c r="AA1" s="11"/>
      <c r="AB1" s="11"/>
      <c r="AD1" s="17" t="s">
        <v>39</v>
      </c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24"/>
      <c r="AQ1" s="17"/>
      <c r="AR1" s="17"/>
      <c r="AS1" s="17"/>
      <c r="AT1" s="17"/>
    </row>
    <row r="2" spans="1:46" s="9" customFormat="1" ht="64">
      <c r="A2" s="1" t="s">
        <v>0</v>
      </c>
      <c r="B2" s="1" t="s">
        <v>1</v>
      </c>
      <c r="C2" s="2" t="s">
        <v>2</v>
      </c>
      <c r="D2" s="2" t="s">
        <v>3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4</v>
      </c>
      <c r="J2" s="1"/>
      <c r="K2" s="1" t="s">
        <v>49</v>
      </c>
      <c r="L2" s="1" t="s">
        <v>42</v>
      </c>
      <c r="M2" s="1" t="s">
        <v>50</v>
      </c>
      <c r="N2" s="1" t="s">
        <v>42</v>
      </c>
      <c r="O2" s="1" t="s">
        <v>51</v>
      </c>
      <c r="P2" s="1" t="s">
        <v>42</v>
      </c>
      <c r="Q2" s="1" t="s">
        <v>52</v>
      </c>
      <c r="R2" s="1" t="s">
        <v>42</v>
      </c>
      <c r="S2" s="1"/>
      <c r="T2" s="1"/>
      <c r="V2" s="12" t="s">
        <v>35</v>
      </c>
      <c r="W2" s="12" t="s">
        <v>36</v>
      </c>
      <c r="X2" s="12" t="s">
        <v>37</v>
      </c>
      <c r="Y2" s="12" t="s">
        <v>38</v>
      </c>
      <c r="Z2" s="12" t="s">
        <v>43</v>
      </c>
      <c r="AA2" s="13" t="s">
        <v>44</v>
      </c>
      <c r="AB2" s="13" t="s">
        <v>53</v>
      </c>
      <c r="AC2" s="1"/>
      <c r="AD2" s="18" t="s">
        <v>35</v>
      </c>
      <c r="AE2" s="19" t="s">
        <v>40</v>
      </c>
      <c r="AF2" s="18" t="s">
        <v>36</v>
      </c>
      <c r="AG2" s="19" t="s">
        <v>40</v>
      </c>
      <c r="AH2" s="18" t="s">
        <v>37</v>
      </c>
      <c r="AI2" s="19" t="s">
        <v>40</v>
      </c>
      <c r="AJ2" s="18" t="s">
        <v>38</v>
      </c>
      <c r="AK2" s="19" t="s">
        <v>40</v>
      </c>
      <c r="AL2" s="18" t="s">
        <v>41</v>
      </c>
      <c r="AM2" s="19" t="s">
        <v>42</v>
      </c>
      <c r="AN2" s="20" t="s">
        <v>44</v>
      </c>
      <c r="AO2" s="19" t="s">
        <v>42</v>
      </c>
      <c r="AP2" s="20" t="s">
        <v>53</v>
      </c>
      <c r="AQ2" s="23" t="s">
        <v>45</v>
      </c>
      <c r="AR2" s="23" t="s">
        <v>46</v>
      </c>
      <c r="AS2" s="23" t="s">
        <v>47</v>
      </c>
      <c r="AT2" s="23" t="s">
        <v>48</v>
      </c>
    </row>
    <row r="3" spans="1:46">
      <c r="A3" s="3" t="s">
        <v>5</v>
      </c>
      <c r="B3" s="4" t="s">
        <v>6</v>
      </c>
      <c r="C3" s="5" t="s">
        <v>7</v>
      </c>
      <c r="D3" s="3" t="s">
        <v>8</v>
      </c>
      <c r="E3" s="3">
        <v>150</v>
      </c>
      <c r="F3" s="3">
        <v>60</v>
      </c>
      <c r="G3" s="3">
        <v>145</v>
      </c>
      <c r="H3" s="3">
        <v>55</v>
      </c>
      <c r="I3" s="3">
        <v>2</v>
      </c>
      <c r="J3" s="3"/>
      <c r="K3" s="10">
        <v>1E-13</v>
      </c>
      <c r="L3" s="10">
        <f>K3*0.01</f>
        <v>1.0000000000000001E-15</v>
      </c>
      <c r="M3" s="10">
        <v>1E-13</v>
      </c>
      <c r="N3" s="10">
        <f>M3*0.01</f>
        <v>1.0000000000000001E-15</v>
      </c>
      <c r="O3" s="10">
        <v>9.9999999999999998E-13</v>
      </c>
      <c r="P3" s="10">
        <f>O3*0.01</f>
        <v>1E-14</v>
      </c>
      <c r="Q3" s="10">
        <v>9.9999999999999998E-13</v>
      </c>
      <c r="R3" s="10">
        <f>Q3*0.01</f>
        <v>1E-14</v>
      </c>
      <c r="S3" s="3"/>
      <c r="T3" s="3"/>
      <c r="V3" s="14">
        <v>0.61652454245366095</v>
      </c>
      <c r="W3" s="14">
        <v>0.56096684631728022</v>
      </c>
      <c r="X3" s="14">
        <v>0.55274100766476242</v>
      </c>
      <c r="Y3" s="14">
        <v>0.87305908670710064</v>
      </c>
      <c r="Z3" s="15">
        <v>284282.72291180736</v>
      </c>
      <c r="AA3" s="16">
        <v>35.613502068845257</v>
      </c>
      <c r="AB3" s="16">
        <v>0.60542677021815561</v>
      </c>
      <c r="AC3" s="7"/>
      <c r="AD3" s="8">
        <v>0.59802880618005105</v>
      </c>
      <c r="AE3" s="8">
        <v>1.7940864185401532E-2</v>
      </c>
      <c r="AF3" s="8">
        <v>0.53852817246458895</v>
      </c>
      <c r="AG3" s="8">
        <v>2.1541126898583559E-2</v>
      </c>
      <c r="AH3" s="8">
        <v>0.53063136735817196</v>
      </c>
      <c r="AI3" s="8">
        <v>2.122525469432688E-2</v>
      </c>
      <c r="AJ3" s="8">
        <v>0.86432849584002958</v>
      </c>
      <c r="AK3" s="8">
        <v>8.643284958400296E-3</v>
      </c>
      <c r="AL3" s="21">
        <v>235954.6600168001</v>
      </c>
      <c r="AM3" s="21">
        <v>47190.932003360023</v>
      </c>
      <c r="AN3" s="22">
        <v>33.12055692402609</v>
      </c>
      <c r="AO3" s="22">
        <v>1.9872334154415654</v>
      </c>
      <c r="AP3" s="6">
        <v>0.58627612324116629</v>
      </c>
      <c r="AQ3" s="21">
        <v>228.82</v>
      </c>
      <c r="AR3" s="21">
        <v>2.83</v>
      </c>
      <c r="AS3" s="21">
        <v>408.64</v>
      </c>
      <c r="AT3" s="21">
        <v>12.14</v>
      </c>
    </row>
    <row r="4" spans="1:46">
      <c r="A4" s="3" t="s">
        <v>9</v>
      </c>
      <c r="B4" s="4" t="s">
        <v>6</v>
      </c>
      <c r="C4" s="5" t="s">
        <v>7</v>
      </c>
      <c r="D4" s="3" t="s">
        <v>8</v>
      </c>
      <c r="E4" s="3">
        <v>155</v>
      </c>
      <c r="F4" s="3">
        <v>65</v>
      </c>
      <c r="G4" s="3">
        <v>150</v>
      </c>
      <c r="H4" s="3">
        <v>60</v>
      </c>
      <c r="I4" s="3">
        <v>1</v>
      </c>
      <c r="J4" s="3"/>
      <c r="K4" s="10">
        <f>K3+0.000000000000075</f>
        <v>1.7500000000000001E-13</v>
      </c>
      <c r="L4" s="10">
        <f t="shared" ref="L4:L22" si="0">K4*0.01</f>
        <v>1.7500000000000002E-15</v>
      </c>
      <c r="M4" s="10">
        <f>M3+0.00000000000005</f>
        <v>1.5000000000000002E-13</v>
      </c>
      <c r="N4" s="10">
        <f>M4*0.01</f>
        <v>1.5000000000000001E-15</v>
      </c>
      <c r="O4" s="10">
        <f>O3+0.0000000000005</f>
        <v>1.5000000000000001E-12</v>
      </c>
      <c r="P4" s="10">
        <f>O4*0.01</f>
        <v>1.5000000000000002E-14</v>
      </c>
      <c r="Q4" s="10">
        <f>Q3+0.0000000000005</f>
        <v>1.5000000000000001E-12</v>
      </c>
      <c r="R4" s="10">
        <f>Q4*0.01</f>
        <v>1.5000000000000002E-14</v>
      </c>
      <c r="S4" s="3"/>
      <c r="T4" s="3"/>
      <c r="V4" s="14">
        <v>0.64502675746853022</v>
      </c>
      <c r="W4" s="14">
        <v>0.59402082922991284</v>
      </c>
      <c r="X4" s="14">
        <v>0.58647974310165873</v>
      </c>
      <c r="Y4" s="14">
        <v>0.88198905428626539</v>
      </c>
      <c r="Z4" s="15">
        <v>398920.99278741312</v>
      </c>
      <c r="AA4" s="16">
        <v>38.683184594677414</v>
      </c>
      <c r="AB4" s="16">
        <v>0.63483978391619378</v>
      </c>
      <c r="AC4" s="7"/>
      <c r="AD4" s="8">
        <v>0.62567595474447435</v>
      </c>
      <c r="AE4" s="8">
        <v>1.8770278642334229E-2</v>
      </c>
      <c r="AF4" s="8">
        <v>0.57025999606071631</v>
      </c>
      <c r="AG4" s="8">
        <v>2.2810399842428653E-2</v>
      </c>
      <c r="AH4" s="8">
        <v>0.56302055337759238</v>
      </c>
      <c r="AI4" s="8">
        <v>2.2520822135103695E-2</v>
      </c>
      <c r="AJ4" s="8">
        <v>0.8731691637434027</v>
      </c>
      <c r="AK4" s="8">
        <v>8.7316916374340272E-3</v>
      </c>
      <c r="AL4" s="21">
        <v>331104.4240135529</v>
      </c>
      <c r="AM4" s="21">
        <v>66220.884802710585</v>
      </c>
      <c r="AN4" s="22">
        <v>35.975361673049996</v>
      </c>
      <c r="AO4" s="22">
        <v>2.1585217003829995</v>
      </c>
      <c r="AP4" s="6">
        <v>0.61474683951050213</v>
      </c>
      <c r="AQ4" s="21">
        <v>266.5</v>
      </c>
      <c r="AR4" s="21">
        <v>3.29</v>
      </c>
      <c r="AS4" s="21">
        <v>450.89</v>
      </c>
      <c r="AT4" s="21">
        <v>13.41</v>
      </c>
    </row>
    <row r="5" spans="1:46">
      <c r="A5" s="3" t="s">
        <v>10</v>
      </c>
      <c r="B5" s="4" t="s">
        <v>6</v>
      </c>
      <c r="C5" s="5" t="s">
        <v>7</v>
      </c>
      <c r="D5" s="3" t="s">
        <v>8</v>
      </c>
      <c r="E5" s="3">
        <v>160</v>
      </c>
      <c r="F5" s="3">
        <v>70</v>
      </c>
      <c r="G5" s="3">
        <v>155</v>
      </c>
      <c r="H5" s="3">
        <v>65</v>
      </c>
      <c r="I5" s="3">
        <v>0</v>
      </c>
      <c r="J5" s="3"/>
      <c r="K5" s="10">
        <f t="shared" ref="K5:K22" si="1">K4+0.000000000000075</f>
        <v>2.4999999999999999E-13</v>
      </c>
      <c r="L5" s="10">
        <f t="shared" si="0"/>
        <v>2.5E-15</v>
      </c>
      <c r="M5" s="10">
        <f t="shared" ref="M5:M22" si="2">M4+0.00000000000005</f>
        <v>2.0000000000000001E-13</v>
      </c>
      <c r="N5" s="10">
        <f t="shared" ref="N5:N22" si="3">M5*0.01</f>
        <v>2.0000000000000002E-15</v>
      </c>
      <c r="O5" s="10">
        <f t="shared" ref="O5:O22" si="4">O4+0.0000000000005</f>
        <v>2E-12</v>
      </c>
      <c r="P5" s="10">
        <f t="shared" ref="P5:P22" si="5">O5*0.01</f>
        <v>2E-14</v>
      </c>
      <c r="Q5" s="10">
        <f t="shared" ref="Q5:Q22" si="6">Q4+0.0000000000005</f>
        <v>2E-12</v>
      </c>
      <c r="R5" s="10">
        <f t="shared" ref="R5:R22" si="7">Q5*0.01</f>
        <v>2E-14</v>
      </c>
      <c r="S5" s="3"/>
      <c r="T5" s="3"/>
      <c r="V5" s="14">
        <v>0.66933359028410655</v>
      </c>
      <c r="W5" s="14">
        <v>0.6220030391470136</v>
      </c>
      <c r="X5" s="14">
        <v>0.61500984663667513</v>
      </c>
      <c r="Y5" s="14">
        <v>0.88984281855209146</v>
      </c>
      <c r="Z5" s="15">
        <v>548964.96487645316</v>
      </c>
      <c r="AA5" s="16">
        <v>41.699929278939379</v>
      </c>
      <c r="AB5" s="16">
        <v>0.65988132212549322</v>
      </c>
      <c r="AC5" s="7"/>
      <c r="AD5" s="8">
        <v>0.6492535825755833</v>
      </c>
      <c r="AE5" s="8">
        <v>1.9477607477267497E-2</v>
      </c>
      <c r="AF5" s="8">
        <v>0.59712291758113301</v>
      </c>
      <c r="AG5" s="8">
        <v>2.3884916703245322E-2</v>
      </c>
      <c r="AH5" s="8">
        <v>0.59040945277120815</v>
      </c>
      <c r="AI5" s="8">
        <v>2.3616378110848327E-2</v>
      </c>
      <c r="AJ5" s="8">
        <v>0.88094439036657057</v>
      </c>
      <c r="AK5" s="8">
        <v>8.8094439036657066E-3</v>
      </c>
      <c r="AL5" s="21">
        <v>455640.92084745609</v>
      </c>
      <c r="AM5" s="21">
        <v>91128.184169491229</v>
      </c>
      <c r="AN5" s="22">
        <v>38.780934229413624</v>
      </c>
      <c r="AO5" s="22">
        <v>2.3268560537648173</v>
      </c>
      <c r="AP5" s="6">
        <v>0.63898646284962546</v>
      </c>
      <c r="AQ5" s="21">
        <v>285.27999999999997</v>
      </c>
      <c r="AR5" s="21">
        <v>3.51</v>
      </c>
      <c r="AS5" s="21">
        <v>462.33</v>
      </c>
      <c r="AT5" s="21">
        <v>13.77</v>
      </c>
    </row>
    <row r="6" spans="1:46">
      <c r="A6" s="3" t="s">
        <v>11</v>
      </c>
      <c r="B6" s="4" t="s">
        <v>6</v>
      </c>
      <c r="C6" s="5" t="s">
        <v>12</v>
      </c>
      <c r="D6" s="3" t="s">
        <v>8</v>
      </c>
      <c r="E6" s="3">
        <v>165</v>
      </c>
      <c r="F6" s="3">
        <v>75</v>
      </c>
      <c r="G6" s="3">
        <v>160</v>
      </c>
      <c r="H6" s="3">
        <v>70</v>
      </c>
      <c r="I6" s="3">
        <v>2</v>
      </c>
      <c r="J6" s="3"/>
      <c r="K6" s="10">
        <f t="shared" si="1"/>
        <v>3.2499999999999998E-13</v>
      </c>
      <c r="L6" s="10">
        <f t="shared" si="0"/>
        <v>3.25E-15</v>
      </c>
      <c r="M6" s="10">
        <f t="shared" si="2"/>
        <v>2.4999999999999999E-13</v>
      </c>
      <c r="N6" s="10">
        <f t="shared" si="3"/>
        <v>2.5E-15</v>
      </c>
      <c r="O6" s="10">
        <f t="shared" si="4"/>
        <v>2.4999999999999998E-12</v>
      </c>
      <c r="P6" s="10">
        <f t="shared" si="5"/>
        <v>2.4999999999999998E-14</v>
      </c>
      <c r="Q6" s="10">
        <f t="shared" si="6"/>
        <v>2.4999999999999998E-12</v>
      </c>
      <c r="R6" s="10">
        <f t="shared" si="7"/>
        <v>2.4999999999999998E-14</v>
      </c>
      <c r="S6" s="3"/>
      <c r="T6" s="3"/>
      <c r="V6" s="14">
        <v>0.68717144373696948</v>
      </c>
      <c r="W6" s="14">
        <v>0.63946047959524532</v>
      </c>
      <c r="X6" s="14">
        <v>0.63235399611720877</v>
      </c>
      <c r="Y6" s="14">
        <v>0.89993947283126807</v>
      </c>
      <c r="Z6" s="15">
        <v>478602.00582031999</v>
      </c>
      <c r="AA6" s="16">
        <v>44.113505305525102</v>
      </c>
      <c r="AB6" s="16">
        <v>0.67763490574082619</v>
      </c>
      <c r="AC6" s="7"/>
      <c r="AD6" s="8">
        <v>0.6321977282380119</v>
      </c>
      <c r="AE6" s="8">
        <v>3.1609886411900594E-2</v>
      </c>
      <c r="AF6" s="8">
        <v>0.58190903643167324</v>
      </c>
      <c r="AG6" s="8">
        <v>3.4914542185900392E-2</v>
      </c>
      <c r="AH6" s="8">
        <v>0.57544213646665998</v>
      </c>
      <c r="AI6" s="8">
        <v>3.4526528187999596E-2</v>
      </c>
      <c r="AJ6" s="8">
        <v>0.87294128864633003</v>
      </c>
      <c r="AK6" s="8">
        <v>8.729412886463301E-3</v>
      </c>
      <c r="AL6" s="21">
        <v>354165.48430703679</v>
      </c>
      <c r="AM6" s="21">
        <v>81458.061390618459</v>
      </c>
      <c r="AN6" s="22">
        <v>37.496479509696336</v>
      </c>
      <c r="AO6" s="22">
        <v>3.7496479509696337</v>
      </c>
      <c r="AP6" s="6">
        <v>0.62229474425382303</v>
      </c>
      <c r="AQ6" s="21">
        <v>296.54000000000002</v>
      </c>
      <c r="AR6" s="21">
        <v>3.65</v>
      </c>
      <c r="AS6" s="21">
        <v>492.59</v>
      </c>
      <c r="AT6" s="21">
        <v>21.18</v>
      </c>
    </row>
    <row r="7" spans="1:46">
      <c r="A7" s="3" t="s">
        <v>13</v>
      </c>
      <c r="B7" s="4" t="s">
        <v>6</v>
      </c>
      <c r="C7" s="5" t="s">
        <v>12</v>
      </c>
      <c r="D7" s="3" t="s">
        <v>8</v>
      </c>
      <c r="E7" s="3">
        <v>170</v>
      </c>
      <c r="F7" s="3">
        <v>80</v>
      </c>
      <c r="G7" s="3">
        <v>165</v>
      </c>
      <c r="H7" s="3">
        <v>75</v>
      </c>
      <c r="I7" s="3">
        <v>1</v>
      </c>
      <c r="J7" s="3"/>
      <c r="K7" s="10">
        <f t="shared" si="1"/>
        <v>3.9999999999999996E-13</v>
      </c>
      <c r="L7" s="10">
        <f t="shared" si="0"/>
        <v>3.9999999999999995E-15</v>
      </c>
      <c r="M7" s="10">
        <f t="shared" si="2"/>
        <v>2.9999999999999998E-13</v>
      </c>
      <c r="N7" s="10">
        <f t="shared" si="3"/>
        <v>2.9999999999999998E-15</v>
      </c>
      <c r="O7" s="10">
        <f t="shared" si="4"/>
        <v>2.9999999999999997E-12</v>
      </c>
      <c r="P7" s="10">
        <f t="shared" si="5"/>
        <v>2.9999999999999998E-14</v>
      </c>
      <c r="Q7" s="10">
        <f t="shared" si="6"/>
        <v>2.9999999999999997E-12</v>
      </c>
      <c r="R7" s="10">
        <f t="shared" si="7"/>
        <v>2.9999999999999998E-14</v>
      </c>
      <c r="S7" s="3"/>
      <c r="T7" s="3"/>
      <c r="V7" s="14">
        <v>0.70487074719086718</v>
      </c>
      <c r="W7" s="14">
        <v>0.65963571304330926</v>
      </c>
      <c r="X7" s="14">
        <v>0.65288945382349128</v>
      </c>
      <c r="Y7" s="14">
        <v>0.9057602542144344</v>
      </c>
      <c r="Z7" s="15">
        <v>561297.88744137634</v>
      </c>
      <c r="AA7" s="16">
        <v>46.870623234300062</v>
      </c>
      <c r="AB7" s="16">
        <v>0.69582785703247696</v>
      </c>
      <c r="AC7" s="7"/>
      <c r="AD7" s="8">
        <v>0.64848108741559785</v>
      </c>
      <c r="AE7" s="8">
        <v>3.2424054370779894E-2</v>
      </c>
      <c r="AF7" s="8">
        <v>0.60026849886941147</v>
      </c>
      <c r="AG7" s="8">
        <v>3.601610993216469E-2</v>
      </c>
      <c r="AH7" s="8">
        <v>0.59412940297937711</v>
      </c>
      <c r="AI7" s="8">
        <v>3.5647764178762628E-2</v>
      </c>
      <c r="AJ7" s="8">
        <v>0.87858744658800136</v>
      </c>
      <c r="AK7" s="8">
        <v>8.7858744658800142E-3</v>
      </c>
      <c r="AL7" s="21">
        <v>415360.43670661846</v>
      </c>
      <c r="AM7" s="21">
        <v>95532.900442522252</v>
      </c>
      <c r="AN7" s="22">
        <v>39.84002974915505</v>
      </c>
      <c r="AO7" s="22">
        <v>3.984002974915505</v>
      </c>
      <c r="AP7" s="6">
        <v>0.6389957777851486</v>
      </c>
      <c r="AQ7" s="21">
        <v>304.04000000000002</v>
      </c>
      <c r="AR7" s="21">
        <v>3.74</v>
      </c>
      <c r="AS7" s="21">
        <v>490.63</v>
      </c>
      <c r="AT7" s="21">
        <v>21.13</v>
      </c>
    </row>
    <row r="8" spans="1:46">
      <c r="A8" s="3" t="s">
        <v>14</v>
      </c>
      <c r="B8" s="4" t="s">
        <v>6</v>
      </c>
      <c r="C8" s="5" t="s">
        <v>12</v>
      </c>
      <c r="D8" s="3" t="s">
        <v>8</v>
      </c>
      <c r="E8" s="3">
        <v>175</v>
      </c>
      <c r="F8" s="3">
        <v>85</v>
      </c>
      <c r="G8" s="3">
        <v>170</v>
      </c>
      <c r="H8" s="3">
        <v>80</v>
      </c>
      <c r="I8" s="3">
        <v>0</v>
      </c>
      <c r="J8" s="3"/>
      <c r="K8" s="10">
        <f t="shared" si="1"/>
        <v>4.75E-13</v>
      </c>
      <c r="L8" s="10">
        <f t="shared" si="0"/>
        <v>4.7500000000000003E-15</v>
      </c>
      <c r="M8" s="10">
        <f t="shared" si="2"/>
        <v>3.4999999999999997E-13</v>
      </c>
      <c r="N8" s="10">
        <f t="shared" si="3"/>
        <v>3.4999999999999997E-15</v>
      </c>
      <c r="O8" s="10">
        <f t="shared" si="4"/>
        <v>3.4999999999999996E-12</v>
      </c>
      <c r="P8" s="10">
        <f t="shared" si="5"/>
        <v>3.4999999999999996E-14</v>
      </c>
      <c r="Q8" s="10">
        <f t="shared" si="6"/>
        <v>3.4999999999999996E-12</v>
      </c>
      <c r="R8" s="10">
        <f t="shared" si="7"/>
        <v>3.4999999999999996E-14</v>
      </c>
      <c r="S8" s="3"/>
      <c r="T8" s="3"/>
      <c r="V8" s="14">
        <v>0.72062170619266452</v>
      </c>
      <c r="W8" s="14">
        <v>0.67762531236951939</v>
      </c>
      <c r="X8" s="14">
        <v>0.67120622695727172</v>
      </c>
      <c r="Y8" s="14">
        <v>0.91091511077925991</v>
      </c>
      <c r="Z8" s="15">
        <v>652567.69901285484</v>
      </c>
      <c r="AA8" s="16">
        <v>49.610735159628753</v>
      </c>
      <c r="AB8" s="16">
        <v>0.71202536747884615</v>
      </c>
      <c r="AC8" s="7"/>
      <c r="AD8" s="8">
        <v>0.66297196969725136</v>
      </c>
      <c r="AE8" s="8">
        <v>3.3148598484862568E-2</v>
      </c>
      <c r="AF8" s="8">
        <v>0.61663903425626265</v>
      </c>
      <c r="AG8" s="8">
        <v>3.6998342055375756E-2</v>
      </c>
      <c r="AH8" s="8">
        <v>0.61079766653111733</v>
      </c>
      <c r="AI8" s="8">
        <v>3.6647859991867038E-2</v>
      </c>
      <c r="AJ8" s="8">
        <v>0.88358765745588208</v>
      </c>
      <c r="AK8" s="8">
        <v>8.8358765745588218E-3</v>
      </c>
      <c r="AL8" s="21">
        <v>482900.0972695126</v>
      </c>
      <c r="AM8" s="21">
        <v>111067.0223719879</v>
      </c>
      <c r="AN8" s="22">
        <v>42.16912488568444</v>
      </c>
      <c r="AO8" s="22">
        <v>4.2169124885684441</v>
      </c>
      <c r="AP8" s="6">
        <v>0.65386494920514826</v>
      </c>
      <c r="AQ8" s="21">
        <v>309.39</v>
      </c>
      <c r="AR8" s="21">
        <v>3.81</v>
      </c>
      <c r="AS8" s="21">
        <v>486.91</v>
      </c>
      <c r="AT8" s="21">
        <v>21.01</v>
      </c>
    </row>
    <row r="9" spans="1:46">
      <c r="A9" s="3" t="s">
        <v>15</v>
      </c>
      <c r="B9" s="4" t="s">
        <v>6</v>
      </c>
      <c r="C9" s="5" t="s">
        <v>7</v>
      </c>
      <c r="D9" s="3" t="s">
        <v>8</v>
      </c>
      <c r="E9" s="3">
        <v>180</v>
      </c>
      <c r="F9" s="3">
        <v>90</v>
      </c>
      <c r="G9" s="3">
        <v>175</v>
      </c>
      <c r="H9" s="3">
        <v>85</v>
      </c>
      <c r="I9" s="3">
        <v>2</v>
      </c>
      <c r="J9" s="3"/>
      <c r="K9" s="10">
        <f t="shared" si="1"/>
        <v>5.4999999999999998E-13</v>
      </c>
      <c r="L9" s="10">
        <f t="shared" si="0"/>
        <v>5.5000000000000002E-15</v>
      </c>
      <c r="M9" s="10">
        <f t="shared" si="2"/>
        <v>3.9999999999999996E-13</v>
      </c>
      <c r="N9" s="10">
        <f t="shared" si="3"/>
        <v>3.9999999999999995E-15</v>
      </c>
      <c r="O9" s="10">
        <f t="shared" si="4"/>
        <v>3.9999999999999999E-12</v>
      </c>
      <c r="P9" s="10">
        <f t="shared" si="5"/>
        <v>4E-14</v>
      </c>
      <c r="Q9" s="10">
        <f t="shared" si="6"/>
        <v>3.9999999999999999E-12</v>
      </c>
      <c r="R9" s="10">
        <f t="shared" si="7"/>
        <v>4E-14</v>
      </c>
      <c r="S9" s="3"/>
      <c r="T9" s="3"/>
      <c r="V9" s="14">
        <v>0.72466733093754077</v>
      </c>
      <c r="W9" s="14">
        <v>0.68352111133921278</v>
      </c>
      <c r="X9" s="14">
        <v>0.67739296545463401</v>
      </c>
      <c r="Y9" s="14">
        <v>0.91020977342265608</v>
      </c>
      <c r="Z9" s="15">
        <v>707378.44064938684</v>
      </c>
      <c r="AA9" s="16">
        <v>50.411100145183397</v>
      </c>
      <c r="AB9" s="16">
        <v>0.71644304050476781</v>
      </c>
      <c r="AC9" s="7"/>
      <c r="AD9" s="8">
        <v>0.70292731100941452</v>
      </c>
      <c r="AE9" s="8">
        <v>2.1087819330282434E-2</v>
      </c>
      <c r="AF9" s="8">
        <v>0.65618026688564424</v>
      </c>
      <c r="AG9" s="8">
        <v>2.6247210675425771E-2</v>
      </c>
      <c r="AH9" s="8">
        <v>0.65029724683644863</v>
      </c>
      <c r="AI9" s="8">
        <v>2.6011889873457945E-2</v>
      </c>
      <c r="AJ9" s="8">
        <v>0.90110767568842953</v>
      </c>
      <c r="AK9" s="8">
        <v>9.0110767568842964E-3</v>
      </c>
      <c r="AL9" s="21">
        <v>587124.10573899106</v>
      </c>
      <c r="AM9" s="21">
        <v>117424.82114779821</v>
      </c>
      <c r="AN9" s="22">
        <v>46.882323135020563</v>
      </c>
      <c r="AO9" s="22">
        <v>2.8129393881012339</v>
      </c>
      <c r="AP9" s="6">
        <v>0.69374042948071213</v>
      </c>
      <c r="AQ9" s="21">
        <v>313.39999999999998</v>
      </c>
      <c r="AR9" s="21">
        <v>3.85</v>
      </c>
      <c r="AS9" s="21">
        <v>464.85</v>
      </c>
      <c r="AT9" s="21">
        <v>13.91</v>
      </c>
    </row>
    <row r="10" spans="1:46">
      <c r="A10" s="3" t="s">
        <v>16</v>
      </c>
      <c r="B10" s="4" t="s">
        <v>6</v>
      </c>
      <c r="C10" s="5" t="s">
        <v>7</v>
      </c>
      <c r="D10" s="3" t="s">
        <v>8</v>
      </c>
      <c r="E10" s="3">
        <v>185</v>
      </c>
      <c r="F10" s="3">
        <v>95</v>
      </c>
      <c r="G10" s="3">
        <v>180</v>
      </c>
      <c r="H10" s="3">
        <v>90</v>
      </c>
      <c r="I10" s="3">
        <v>1</v>
      </c>
      <c r="J10" s="3"/>
      <c r="K10" s="10">
        <f t="shared" si="1"/>
        <v>6.2499999999999996E-13</v>
      </c>
      <c r="L10" s="10">
        <f t="shared" si="0"/>
        <v>6.2499999999999994E-15</v>
      </c>
      <c r="M10" s="10">
        <f t="shared" si="2"/>
        <v>4.4999999999999995E-13</v>
      </c>
      <c r="N10" s="10">
        <f t="shared" si="3"/>
        <v>4.4999999999999998E-15</v>
      </c>
      <c r="O10" s="10">
        <f t="shared" si="4"/>
        <v>4.4999999999999998E-12</v>
      </c>
      <c r="P10" s="10">
        <f t="shared" si="5"/>
        <v>4.4999999999999998E-14</v>
      </c>
      <c r="Q10" s="10">
        <f t="shared" si="6"/>
        <v>4.4999999999999998E-12</v>
      </c>
      <c r="R10" s="10">
        <f t="shared" si="7"/>
        <v>4.4999999999999998E-14</v>
      </c>
      <c r="S10" s="3"/>
      <c r="T10" s="3"/>
      <c r="V10" s="14">
        <v>0.7414522997668157</v>
      </c>
      <c r="W10" s="14">
        <v>0.70312141605624345</v>
      </c>
      <c r="X10" s="14">
        <v>0.69742050595134031</v>
      </c>
      <c r="Y10" s="14">
        <v>0.91532964874507361</v>
      </c>
      <c r="Z10" s="15">
        <v>986167.77146750689</v>
      </c>
      <c r="AA10" s="16">
        <v>53.805455221461706</v>
      </c>
      <c r="AB10" s="16">
        <v>0.73379189059592687</v>
      </c>
      <c r="AC10" s="7"/>
      <c r="AD10" s="8">
        <v>0.7192087307738112</v>
      </c>
      <c r="AE10" s="8">
        <v>2.1576261923214334E-2</v>
      </c>
      <c r="AF10" s="8">
        <v>0.67499655941399372</v>
      </c>
      <c r="AG10" s="8">
        <v>2.6999862376559748E-2</v>
      </c>
      <c r="AH10" s="8">
        <v>0.66952368571328669</v>
      </c>
      <c r="AI10" s="8">
        <v>2.6780947428531467E-2</v>
      </c>
      <c r="AJ10" s="8">
        <v>0.90617635225762283</v>
      </c>
      <c r="AK10" s="8">
        <v>9.0617635225762293E-3</v>
      </c>
      <c r="AL10" s="21">
        <v>818519.25031803071</v>
      </c>
      <c r="AM10" s="21">
        <v>163703.85006360617</v>
      </c>
      <c r="AN10" s="22">
        <v>50.039073355959388</v>
      </c>
      <c r="AO10" s="22">
        <v>3.0023444013575631</v>
      </c>
      <c r="AP10" s="6">
        <v>0.71053325968152592</v>
      </c>
      <c r="AQ10" s="21">
        <v>316.52</v>
      </c>
      <c r="AR10" s="21">
        <v>3.89</v>
      </c>
      <c r="AS10" s="21">
        <v>457.31</v>
      </c>
      <c r="AT10" s="21">
        <v>13.71</v>
      </c>
    </row>
    <row r="11" spans="1:46">
      <c r="A11" s="3" t="s">
        <v>17</v>
      </c>
      <c r="B11" s="4" t="s">
        <v>6</v>
      </c>
      <c r="C11" s="5" t="s">
        <v>7</v>
      </c>
      <c r="D11" s="3" t="s">
        <v>8</v>
      </c>
      <c r="E11" s="3">
        <v>190</v>
      </c>
      <c r="F11" s="3">
        <v>100</v>
      </c>
      <c r="G11" s="3">
        <v>185</v>
      </c>
      <c r="H11" s="3">
        <v>95</v>
      </c>
      <c r="I11" s="3">
        <v>0</v>
      </c>
      <c r="J11" s="3"/>
      <c r="K11" s="10">
        <f t="shared" si="1"/>
        <v>6.9999999999999995E-13</v>
      </c>
      <c r="L11" s="10">
        <f t="shared" si="0"/>
        <v>6.9999999999999994E-15</v>
      </c>
      <c r="M11" s="10">
        <f t="shared" si="2"/>
        <v>4.9999999999999999E-13</v>
      </c>
      <c r="N11" s="10">
        <f t="shared" si="3"/>
        <v>5E-15</v>
      </c>
      <c r="O11" s="10">
        <f t="shared" si="4"/>
        <v>4.9999999999999997E-12</v>
      </c>
      <c r="P11" s="10">
        <f t="shared" si="5"/>
        <v>4.9999999999999995E-14</v>
      </c>
      <c r="Q11" s="10">
        <f t="shared" si="6"/>
        <v>4.9999999999999997E-12</v>
      </c>
      <c r="R11" s="10">
        <f t="shared" si="7"/>
        <v>4.9999999999999995E-14</v>
      </c>
      <c r="S11" s="3"/>
      <c r="T11" s="3"/>
      <c r="V11" s="14">
        <v>0.75578257197843768</v>
      </c>
      <c r="W11" s="14">
        <v>0.71972575976034192</v>
      </c>
      <c r="X11" s="14">
        <v>0.71436692080487763</v>
      </c>
      <c r="Y11" s="14">
        <v>0.91984847468765196</v>
      </c>
      <c r="Z11" s="15">
        <v>1333734.1226347259</v>
      </c>
      <c r="AA11" s="16">
        <v>57.060182406886042</v>
      </c>
      <c r="AB11" s="16">
        <v>0.74857719476284168</v>
      </c>
      <c r="AC11" s="7"/>
      <c r="AD11" s="8">
        <v>0.73310909481908448</v>
      </c>
      <c r="AE11" s="8">
        <v>1.4662181896381689E-2</v>
      </c>
      <c r="AF11" s="8">
        <v>0.69093672936992823</v>
      </c>
      <c r="AG11" s="8">
        <v>1.3818734587398565E-2</v>
      </c>
      <c r="AH11" s="8">
        <v>0.68579224397268246</v>
      </c>
      <c r="AI11" s="8">
        <v>1.371584487945365E-2</v>
      </c>
      <c r="AJ11" s="8">
        <v>0.9106499899407754</v>
      </c>
      <c r="AK11" s="8">
        <v>9.1064998994077537E-3</v>
      </c>
      <c r="AL11" s="21">
        <v>1106999.3217868225</v>
      </c>
      <c r="AM11" s="21">
        <v>221399.86435736451</v>
      </c>
      <c r="AN11" s="22">
        <v>53.06596963840402</v>
      </c>
      <c r="AO11" s="22">
        <v>3.1839581783042412</v>
      </c>
      <c r="AP11" s="6">
        <v>0.72484491379445992</v>
      </c>
      <c r="AQ11" s="21">
        <v>319.02</v>
      </c>
      <c r="AR11" s="21">
        <v>3.92</v>
      </c>
      <c r="AS11" s="21">
        <v>451.01</v>
      </c>
      <c r="AT11" s="21">
        <v>8.4600000000000009</v>
      </c>
    </row>
    <row r="12" spans="1:46">
      <c r="A12" s="3" t="s">
        <v>18</v>
      </c>
      <c r="B12" s="4" t="s">
        <v>6</v>
      </c>
      <c r="C12" s="5" t="s">
        <v>7</v>
      </c>
      <c r="D12" s="3" t="s">
        <v>8</v>
      </c>
      <c r="E12" s="3">
        <v>195</v>
      </c>
      <c r="F12" s="3">
        <v>105</v>
      </c>
      <c r="G12" s="3">
        <v>190</v>
      </c>
      <c r="H12" s="3">
        <v>100</v>
      </c>
      <c r="I12" s="3">
        <v>2</v>
      </c>
      <c r="J12" s="3"/>
      <c r="K12" s="10">
        <f t="shared" si="1"/>
        <v>7.7499999999999993E-13</v>
      </c>
      <c r="L12" s="10">
        <f t="shared" si="0"/>
        <v>7.7500000000000001E-15</v>
      </c>
      <c r="M12" s="10">
        <f t="shared" si="2"/>
        <v>5.4999999999999998E-13</v>
      </c>
      <c r="N12" s="10">
        <f t="shared" si="3"/>
        <v>5.5000000000000002E-15</v>
      </c>
      <c r="O12" s="10">
        <f t="shared" si="4"/>
        <v>5.4999999999999996E-12</v>
      </c>
      <c r="P12" s="10">
        <f t="shared" si="5"/>
        <v>5.4999999999999999E-14</v>
      </c>
      <c r="Q12" s="10">
        <f t="shared" si="6"/>
        <v>5.4999999999999996E-12</v>
      </c>
      <c r="R12" s="10">
        <f t="shared" si="7"/>
        <v>5.4999999999999999E-14</v>
      </c>
      <c r="S12" s="3"/>
      <c r="T12" s="3"/>
      <c r="V12" s="14">
        <v>0.75725469671940004</v>
      </c>
      <c r="W12" s="14">
        <v>0.72067404947696156</v>
      </c>
      <c r="X12" s="14">
        <v>0.71521760130905776</v>
      </c>
      <c r="Y12" s="14">
        <v>0.92117229573393189</v>
      </c>
      <c r="Z12" s="15">
        <v>1008923.063533793</v>
      </c>
      <c r="AA12" s="16">
        <v>57.379603728773674</v>
      </c>
      <c r="AB12" s="16">
        <v>0.74994176749886365</v>
      </c>
      <c r="AC12" s="7"/>
      <c r="AD12" s="8">
        <v>0.73453705581781803</v>
      </c>
      <c r="AE12" s="8">
        <v>1.4690741116356361E-2</v>
      </c>
      <c r="AF12" s="8">
        <v>0.69184708749788304</v>
      </c>
      <c r="AG12" s="8">
        <v>1.383694174995766E-2</v>
      </c>
      <c r="AH12" s="8">
        <v>0.68660889725669538</v>
      </c>
      <c r="AI12" s="8">
        <v>1.3732177945133909E-2</v>
      </c>
      <c r="AJ12" s="8">
        <v>0.91196057277659259</v>
      </c>
      <c r="AK12" s="8">
        <v>9.1196057277659268E-3</v>
      </c>
      <c r="AL12" s="21">
        <v>837406.14273304818</v>
      </c>
      <c r="AM12" s="21">
        <v>167481.22854660964</v>
      </c>
      <c r="AN12" s="22">
        <v>53.363031467759519</v>
      </c>
      <c r="AO12" s="22">
        <v>3.2017818880655708</v>
      </c>
      <c r="AP12" s="6">
        <v>0.7261670011246395</v>
      </c>
      <c r="AQ12" s="21">
        <v>321.06</v>
      </c>
      <c r="AR12" s="21">
        <v>3.95</v>
      </c>
      <c r="AS12" s="21">
        <v>453.24</v>
      </c>
      <c r="AT12" s="21">
        <v>8.5</v>
      </c>
    </row>
    <row r="13" spans="1:46">
      <c r="A13" s="3" t="s">
        <v>19</v>
      </c>
      <c r="B13" s="4" t="s">
        <v>20</v>
      </c>
      <c r="C13" s="5" t="s">
        <v>21</v>
      </c>
      <c r="D13" s="3" t="s">
        <v>8</v>
      </c>
      <c r="E13" s="3">
        <v>150</v>
      </c>
      <c r="F13" s="3">
        <v>60</v>
      </c>
      <c r="G13" s="3">
        <v>145</v>
      </c>
      <c r="H13" s="3">
        <v>55</v>
      </c>
      <c r="I13" s="3">
        <v>2</v>
      </c>
      <c r="J13" s="3"/>
      <c r="K13" s="10">
        <f t="shared" si="1"/>
        <v>8.4999999999999991E-13</v>
      </c>
      <c r="L13" s="10">
        <f t="shared" si="0"/>
        <v>8.5000000000000001E-15</v>
      </c>
      <c r="M13" s="10">
        <f t="shared" si="2"/>
        <v>5.9999999999999997E-13</v>
      </c>
      <c r="N13" s="10">
        <f t="shared" si="3"/>
        <v>5.9999999999999997E-15</v>
      </c>
      <c r="O13" s="10">
        <f t="shared" si="4"/>
        <v>5.9999999999999995E-12</v>
      </c>
      <c r="P13" s="10">
        <f t="shared" si="5"/>
        <v>5.9999999999999997E-14</v>
      </c>
      <c r="Q13" s="10">
        <f t="shared" si="6"/>
        <v>5.9999999999999995E-12</v>
      </c>
      <c r="R13" s="10">
        <f t="shared" si="7"/>
        <v>5.9999999999999997E-14</v>
      </c>
      <c r="S13" s="3"/>
      <c r="T13" s="3"/>
      <c r="V13" s="14">
        <v>0.69841287025370224</v>
      </c>
      <c r="W13" s="14">
        <v>0.65416572206532131</v>
      </c>
      <c r="X13" s="14">
        <v>0.64754297526636961</v>
      </c>
      <c r="Y13" s="14">
        <v>0.90285601808938054</v>
      </c>
      <c r="Z13" s="15">
        <v>360020.83333333337</v>
      </c>
      <c r="AA13" s="16">
        <v>37.945794855847204</v>
      </c>
      <c r="AB13" s="16">
        <v>0.68956400476602009</v>
      </c>
      <c r="AC13" s="7"/>
      <c r="AD13" s="8">
        <v>0.67746048414609117</v>
      </c>
      <c r="AE13" s="8">
        <v>2.0323814524382734E-2</v>
      </c>
      <c r="AF13" s="8">
        <v>0.63454075040336166</v>
      </c>
      <c r="AG13" s="8">
        <v>2.5381630016134468E-2</v>
      </c>
      <c r="AH13" s="8">
        <v>0.62811668600837856</v>
      </c>
      <c r="AI13" s="8">
        <v>3.1405834300418926E-2</v>
      </c>
      <c r="AJ13" s="8">
        <v>0.89382745790848672</v>
      </c>
      <c r="AK13" s="8">
        <v>8.9382745790848681E-3</v>
      </c>
      <c r="AL13" s="21">
        <v>291616.87500000006</v>
      </c>
      <c r="AM13" s="21">
        <v>37910.193750000006</v>
      </c>
      <c r="AN13" s="22">
        <v>34.910131267379427</v>
      </c>
      <c r="AO13" s="22">
        <v>2.7928105013903544</v>
      </c>
      <c r="AP13" s="6">
        <v>0.66887708462303941</v>
      </c>
      <c r="AQ13" s="21">
        <v>322.76</v>
      </c>
      <c r="AR13" s="21">
        <v>3.97</v>
      </c>
      <c r="AS13" s="21">
        <v>495.18</v>
      </c>
      <c r="AT13" s="21">
        <v>17.61</v>
      </c>
    </row>
    <row r="14" spans="1:46">
      <c r="A14" s="3" t="s">
        <v>22</v>
      </c>
      <c r="B14" s="4" t="s">
        <v>20</v>
      </c>
      <c r="C14" s="5" t="s">
        <v>21</v>
      </c>
      <c r="D14" s="3" t="s">
        <v>8</v>
      </c>
      <c r="E14" s="3">
        <v>155</v>
      </c>
      <c r="F14" s="3">
        <v>65</v>
      </c>
      <c r="G14" s="3">
        <v>150</v>
      </c>
      <c r="H14" s="3">
        <v>60</v>
      </c>
      <c r="I14" s="3">
        <v>1</v>
      </c>
      <c r="J14" s="3"/>
      <c r="K14" s="10">
        <f t="shared" si="1"/>
        <v>9.25E-13</v>
      </c>
      <c r="L14" s="10">
        <f t="shared" si="0"/>
        <v>9.25E-15</v>
      </c>
      <c r="M14" s="10">
        <f t="shared" si="2"/>
        <v>6.4999999999999996E-13</v>
      </c>
      <c r="N14" s="10">
        <f t="shared" si="3"/>
        <v>6.4999999999999999E-15</v>
      </c>
      <c r="O14" s="10">
        <f t="shared" si="4"/>
        <v>6.4999999999999994E-12</v>
      </c>
      <c r="P14" s="10">
        <f t="shared" si="5"/>
        <v>6.5000000000000001E-14</v>
      </c>
      <c r="Q14" s="10">
        <f t="shared" si="6"/>
        <v>6.4999999999999994E-12</v>
      </c>
      <c r="R14" s="10">
        <f t="shared" si="7"/>
        <v>6.5000000000000001E-14</v>
      </c>
      <c r="S14" s="3"/>
      <c r="T14" s="3"/>
      <c r="V14" s="14">
        <v>0.72115067892962159</v>
      </c>
      <c r="W14" s="14">
        <v>0.68042297484988656</v>
      </c>
      <c r="X14" s="14">
        <v>0.67433188150772239</v>
      </c>
      <c r="Y14" s="14">
        <v>0.90997123907705035</v>
      </c>
      <c r="Z14" s="15">
        <v>513375</v>
      </c>
      <c r="AA14" s="16">
        <v>41.171407282216613</v>
      </c>
      <c r="AB14" s="16">
        <v>0.71300636627239744</v>
      </c>
      <c r="AC14" s="7"/>
      <c r="AD14" s="8">
        <v>0.69951615856173288</v>
      </c>
      <c r="AE14" s="8">
        <v>2.0985484756851986E-2</v>
      </c>
      <c r="AF14" s="8">
        <v>0.6600102856043899</v>
      </c>
      <c r="AG14" s="8">
        <v>2.6400411424175596E-2</v>
      </c>
      <c r="AH14" s="8">
        <v>0.65410192506249065</v>
      </c>
      <c r="AI14" s="8">
        <v>3.2705096253124531E-2</v>
      </c>
      <c r="AJ14" s="8">
        <v>0.90087152668627979</v>
      </c>
      <c r="AK14" s="8">
        <v>9.008715266862798E-3</v>
      </c>
      <c r="AL14" s="21">
        <v>415833.75</v>
      </c>
      <c r="AM14" s="21">
        <v>54058.387500000004</v>
      </c>
      <c r="AN14" s="22">
        <v>37.877694699639285</v>
      </c>
      <c r="AO14" s="22">
        <v>3.0302155759711429</v>
      </c>
      <c r="AP14" s="6">
        <v>0.69161617528422537</v>
      </c>
      <c r="AQ14" s="21">
        <v>324.2</v>
      </c>
      <c r="AR14" s="21">
        <v>3.99</v>
      </c>
      <c r="AS14" s="21">
        <v>479.58</v>
      </c>
      <c r="AT14" s="21">
        <v>17.12</v>
      </c>
    </row>
    <row r="15" spans="1:46">
      <c r="A15" s="3" t="s">
        <v>23</v>
      </c>
      <c r="B15" s="4" t="s">
        <v>20</v>
      </c>
      <c r="C15" s="5" t="s">
        <v>21</v>
      </c>
      <c r="D15" s="3" t="s">
        <v>8</v>
      </c>
      <c r="E15" s="3">
        <v>160</v>
      </c>
      <c r="F15" s="3">
        <v>70</v>
      </c>
      <c r="G15" s="3">
        <v>155</v>
      </c>
      <c r="H15" s="3">
        <v>65</v>
      </c>
      <c r="I15" s="3">
        <v>0</v>
      </c>
      <c r="J15" s="3"/>
      <c r="K15" s="10">
        <f t="shared" si="1"/>
        <v>9.9999999999999998E-13</v>
      </c>
      <c r="L15" s="10">
        <f t="shared" si="0"/>
        <v>1E-14</v>
      </c>
      <c r="M15" s="10">
        <f t="shared" si="2"/>
        <v>6.9999999999999995E-13</v>
      </c>
      <c r="N15" s="10">
        <f t="shared" si="3"/>
        <v>6.9999999999999994E-15</v>
      </c>
      <c r="O15" s="10">
        <f t="shared" si="4"/>
        <v>6.9999999999999993E-12</v>
      </c>
      <c r="P15" s="10">
        <f t="shared" si="5"/>
        <v>6.9999999999999992E-14</v>
      </c>
      <c r="Q15" s="10">
        <f t="shared" si="6"/>
        <v>6.9999999999999993E-12</v>
      </c>
      <c r="R15" s="10">
        <f t="shared" si="7"/>
        <v>6.9999999999999992E-14</v>
      </c>
      <c r="S15" s="3"/>
      <c r="T15" s="3"/>
      <c r="V15" s="14">
        <v>0.74062468857055641</v>
      </c>
      <c r="W15" s="14">
        <v>0.70278312568899359</v>
      </c>
      <c r="X15" s="14">
        <v>0.69712479049834286</v>
      </c>
      <c r="Y15" s="14">
        <v>0.91621096027350424</v>
      </c>
      <c r="Z15" s="15">
        <v>716625</v>
      </c>
      <c r="AA15" s="16">
        <v>44.368989734315093</v>
      </c>
      <c r="AB15" s="16">
        <v>0.733057679493615</v>
      </c>
      <c r="AC15" s="7"/>
      <c r="AD15" s="8">
        <v>0.7184059479134397</v>
      </c>
      <c r="AE15" s="8">
        <v>2.1552178437403192E-2</v>
      </c>
      <c r="AF15" s="8">
        <v>0.68169963191832372</v>
      </c>
      <c r="AG15" s="8">
        <v>2.7267985276732951E-2</v>
      </c>
      <c r="AH15" s="8">
        <v>0.67621104678339261</v>
      </c>
      <c r="AI15" s="8">
        <v>3.3810552339169631E-2</v>
      </c>
      <c r="AJ15" s="8">
        <v>0.90704885067076924</v>
      </c>
      <c r="AK15" s="8">
        <v>9.070488506707693E-3</v>
      </c>
      <c r="AL15" s="21">
        <v>580466.25</v>
      </c>
      <c r="AM15" s="21">
        <v>75460.612500000003</v>
      </c>
      <c r="AN15" s="22">
        <v>40.819470555569886</v>
      </c>
      <c r="AO15" s="22">
        <v>3.2655576444455909</v>
      </c>
      <c r="AP15" s="6">
        <v>0.71106594910880649</v>
      </c>
      <c r="AQ15" s="21">
        <v>325.43</v>
      </c>
      <c r="AR15" s="21">
        <v>4</v>
      </c>
      <c r="AS15" s="21">
        <v>467.15</v>
      </c>
      <c r="AT15" s="21">
        <v>16.72</v>
      </c>
    </row>
    <row r="16" spans="1:46">
      <c r="A16" s="3" t="s">
        <v>24</v>
      </c>
      <c r="B16" s="4" t="s">
        <v>20</v>
      </c>
      <c r="C16" s="5" t="s">
        <v>12</v>
      </c>
      <c r="D16" s="3" t="s">
        <v>8</v>
      </c>
      <c r="E16" s="3">
        <v>165</v>
      </c>
      <c r="F16" s="3">
        <v>75</v>
      </c>
      <c r="G16" s="3">
        <v>160</v>
      </c>
      <c r="H16" s="3">
        <v>70</v>
      </c>
      <c r="I16" s="3">
        <v>2</v>
      </c>
      <c r="J16" s="3"/>
      <c r="K16" s="10">
        <f t="shared" si="1"/>
        <v>1.075E-12</v>
      </c>
      <c r="L16" s="10">
        <f t="shared" si="0"/>
        <v>1.075E-14</v>
      </c>
      <c r="M16" s="10">
        <f t="shared" si="2"/>
        <v>7.4999999999999993E-13</v>
      </c>
      <c r="N16" s="10">
        <f t="shared" si="3"/>
        <v>7.4999999999999996E-15</v>
      </c>
      <c r="O16" s="10">
        <f t="shared" si="4"/>
        <v>7.5E-12</v>
      </c>
      <c r="P16" s="10">
        <f t="shared" si="5"/>
        <v>7.4999999999999996E-14</v>
      </c>
      <c r="Q16" s="10">
        <f t="shared" si="6"/>
        <v>7.5E-12</v>
      </c>
      <c r="R16" s="10">
        <f t="shared" si="7"/>
        <v>7.4999999999999996E-14</v>
      </c>
      <c r="S16" s="3"/>
      <c r="T16" s="3"/>
      <c r="V16" s="14">
        <v>0.73198236988573129</v>
      </c>
      <c r="W16" s="14">
        <v>0.69013585778510733</v>
      </c>
      <c r="X16" s="14">
        <v>0.68382187464012711</v>
      </c>
      <c r="Y16" s="14">
        <v>0.91710203757737152</v>
      </c>
      <c r="Z16" s="15">
        <v>446695.20543229859</v>
      </c>
      <c r="AA16" s="16">
        <v>42.805194787289082</v>
      </c>
      <c r="AB16" s="16">
        <v>0.723606251742409</v>
      </c>
      <c r="AC16" s="7"/>
      <c r="AD16" s="8">
        <v>0.73198236988573129</v>
      </c>
      <c r="AE16" s="8">
        <v>2.1959471096571939E-2</v>
      </c>
      <c r="AF16" s="8">
        <v>0.69013585778510733</v>
      </c>
      <c r="AG16" s="8">
        <v>2.0704075733553221E-2</v>
      </c>
      <c r="AH16" s="8">
        <v>0.68382187464012711</v>
      </c>
      <c r="AI16" s="8">
        <v>2.0514656239203812E-2</v>
      </c>
      <c r="AJ16" s="8">
        <v>0.91710203757737152</v>
      </c>
      <c r="AK16" s="8">
        <v>2.7513061127321145E-2</v>
      </c>
      <c r="AL16" s="21">
        <v>464563.01364959055</v>
      </c>
      <c r="AM16" s="21">
        <v>97558.232866414008</v>
      </c>
      <c r="AN16" s="22">
        <v>41.9490908915433</v>
      </c>
      <c r="AO16" s="22">
        <v>3.355927271323464</v>
      </c>
      <c r="AP16" s="6">
        <v>0.723606251742409</v>
      </c>
      <c r="AQ16" s="21">
        <v>326.5</v>
      </c>
      <c r="AR16" s="21">
        <v>4.01</v>
      </c>
      <c r="AS16" s="21">
        <v>462.53</v>
      </c>
      <c r="AT16" s="21">
        <v>11.38</v>
      </c>
    </row>
    <row r="17" spans="1:46">
      <c r="A17" s="3" t="s">
        <v>25</v>
      </c>
      <c r="B17" s="4" t="s">
        <v>20</v>
      </c>
      <c r="C17" s="5" t="s">
        <v>12</v>
      </c>
      <c r="D17" s="3" t="s">
        <v>8</v>
      </c>
      <c r="E17" s="3">
        <v>170</v>
      </c>
      <c r="F17" s="3">
        <v>80</v>
      </c>
      <c r="G17" s="3">
        <v>165</v>
      </c>
      <c r="H17" s="3">
        <v>75</v>
      </c>
      <c r="I17" s="3">
        <v>1</v>
      </c>
      <c r="J17" s="3"/>
      <c r="K17" s="10">
        <f t="shared" si="1"/>
        <v>1.1499999999999999E-12</v>
      </c>
      <c r="L17" s="10">
        <f t="shared" si="0"/>
        <v>1.15E-14</v>
      </c>
      <c r="M17" s="10">
        <f t="shared" si="2"/>
        <v>7.9999999999999992E-13</v>
      </c>
      <c r="N17" s="10">
        <f t="shared" si="3"/>
        <v>7.999999999999999E-15</v>
      </c>
      <c r="O17" s="10">
        <f t="shared" si="4"/>
        <v>7.9999999999999998E-12</v>
      </c>
      <c r="P17" s="10">
        <f t="shared" si="5"/>
        <v>8E-14</v>
      </c>
      <c r="Q17" s="10">
        <f t="shared" si="6"/>
        <v>7.9999999999999998E-12</v>
      </c>
      <c r="R17" s="10">
        <f t="shared" si="7"/>
        <v>8E-14</v>
      </c>
      <c r="S17" s="3"/>
      <c r="T17" s="3"/>
      <c r="V17" s="14">
        <v>0.7478482888691862</v>
      </c>
      <c r="W17" s="14">
        <v>0.70833911386988591</v>
      </c>
      <c r="X17" s="14">
        <v>0.70237238960508097</v>
      </c>
      <c r="Y17" s="14">
        <v>0.92210559725665586</v>
      </c>
      <c r="Z17" s="15">
        <v>526216.76947629033</v>
      </c>
      <c r="AA17" s="16">
        <v>45.5776202011102</v>
      </c>
      <c r="AB17" s="16">
        <v>0.73993923256310523</v>
      </c>
      <c r="AC17" s="7"/>
      <c r="AD17" s="8">
        <v>0.7478482888691862</v>
      </c>
      <c r="AE17" s="8">
        <v>2.2435448666075584E-2</v>
      </c>
      <c r="AF17" s="8">
        <v>0.70833911386988591</v>
      </c>
      <c r="AG17" s="8">
        <v>2.1250173416096578E-2</v>
      </c>
      <c r="AH17" s="8">
        <v>0.70237238960508097</v>
      </c>
      <c r="AI17" s="8">
        <v>2.1071171688152427E-2</v>
      </c>
      <c r="AJ17" s="8">
        <v>0.92210559725665586</v>
      </c>
      <c r="AK17" s="8">
        <v>2.7663167917699676E-2</v>
      </c>
      <c r="AL17" s="21">
        <v>547265.44025534193</v>
      </c>
      <c r="AM17" s="21">
        <v>114925.7424536218</v>
      </c>
      <c r="AN17" s="22">
        <v>44.666067797087997</v>
      </c>
      <c r="AO17" s="22">
        <v>3.5732854237670399</v>
      </c>
      <c r="AP17" s="6">
        <v>0.73993923256310523</v>
      </c>
      <c r="AQ17" s="21">
        <v>327.43</v>
      </c>
      <c r="AR17" s="21">
        <v>4.0199999999999996</v>
      </c>
      <c r="AS17" s="21">
        <v>452.76</v>
      </c>
      <c r="AT17" s="21">
        <v>11.16</v>
      </c>
    </row>
    <row r="18" spans="1:46">
      <c r="A18" s="3" t="s">
        <v>26</v>
      </c>
      <c r="B18" s="4" t="s">
        <v>20</v>
      </c>
      <c r="C18" s="5" t="s">
        <v>12</v>
      </c>
      <c r="D18" s="3" t="s">
        <v>8</v>
      </c>
      <c r="E18" s="3">
        <v>175</v>
      </c>
      <c r="F18" s="3">
        <v>85</v>
      </c>
      <c r="G18" s="3">
        <v>170</v>
      </c>
      <c r="H18" s="3">
        <v>80</v>
      </c>
      <c r="I18" s="3">
        <v>0</v>
      </c>
      <c r="J18" s="3"/>
      <c r="K18" s="10">
        <f t="shared" si="1"/>
        <v>1.2249999999999999E-12</v>
      </c>
      <c r="L18" s="10">
        <f t="shared" si="0"/>
        <v>1.225E-14</v>
      </c>
      <c r="M18" s="10">
        <f t="shared" si="2"/>
        <v>8.4999999999999991E-13</v>
      </c>
      <c r="N18" s="10">
        <f t="shared" si="3"/>
        <v>8.5000000000000001E-15</v>
      </c>
      <c r="O18" s="10">
        <f t="shared" si="4"/>
        <v>8.4999999999999997E-12</v>
      </c>
      <c r="P18" s="10">
        <f t="shared" si="5"/>
        <v>8.5000000000000004E-14</v>
      </c>
      <c r="Q18" s="10">
        <f t="shared" si="6"/>
        <v>8.4999999999999997E-12</v>
      </c>
      <c r="R18" s="10">
        <f t="shared" si="7"/>
        <v>8.5000000000000004E-14</v>
      </c>
      <c r="S18" s="3"/>
      <c r="T18" s="3"/>
      <c r="V18" s="14">
        <v>0.76187917565266772</v>
      </c>
      <c r="W18" s="14">
        <v>0.72445924072208989</v>
      </c>
      <c r="X18" s="14">
        <v>0.71880382685057298</v>
      </c>
      <c r="Y18" s="14">
        <v>0.92651515309530241</v>
      </c>
      <c r="Z18" s="15">
        <v>614181.36377680441</v>
      </c>
      <c r="AA18" s="16">
        <v>48.331336118814889</v>
      </c>
      <c r="AB18" s="16">
        <v>0.75438773731577091</v>
      </c>
      <c r="AC18" s="7"/>
      <c r="AD18" s="8">
        <v>0.76187917565266772</v>
      </c>
      <c r="AE18" s="8">
        <v>2.285637526958003E-2</v>
      </c>
      <c r="AF18" s="8">
        <v>0.72445924072208989</v>
      </c>
      <c r="AG18" s="8">
        <v>2.1733777221662694E-2</v>
      </c>
      <c r="AH18" s="8">
        <v>0.71880382685057298</v>
      </c>
      <c r="AI18" s="8">
        <v>2.156411480551719E-2</v>
      </c>
      <c r="AJ18" s="8">
        <v>0.92651515309530241</v>
      </c>
      <c r="AK18" s="8">
        <v>2.7795454592859072E-2</v>
      </c>
      <c r="AL18" s="21">
        <v>638748.61832787667</v>
      </c>
      <c r="AM18" s="21">
        <v>134137.20984885411</v>
      </c>
      <c r="AN18" s="22">
        <v>47.364709396438592</v>
      </c>
      <c r="AO18" s="22">
        <v>3.7891767517150874</v>
      </c>
      <c r="AP18" s="6">
        <v>0.75438773731577091</v>
      </c>
      <c r="AQ18" s="21">
        <v>328.26</v>
      </c>
      <c r="AR18" s="21">
        <v>4.03</v>
      </c>
      <c r="AS18" s="21">
        <v>444.48</v>
      </c>
      <c r="AT18" s="21">
        <v>10.97</v>
      </c>
    </row>
    <row r="19" spans="1:46">
      <c r="A19" s="3" t="s">
        <v>27</v>
      </c>
      <c r="B19" s="4" t="s">
        <v>20</v>
      </c>
      <c r="C19" s="5" t="s">
        <v>21</v>
      </c>
      <c r="D19" s="3" t="s">
        <v>8</v>
      </c>
      <c r="E19" s="3">
        <v>180</v>
      </c>
      <c r="F19" s="3">
        <v>90</v>
      </c>
      <c r="G19" s="3">
        <v>175</v>
      </c>
      <c r="H19" s="3">
        <v>85</v>
      </c>
      <c r="I19" s="3">
        <v>2</v>
      </c>
      <c r="J19" s="3"/>
      <c r="K19" s="10">
        <f t="shared" si="1"/>
        <v>1.2999999999999999E-12</v>
      </c>
      <c r="L19" s="10">
        <f t="shared" si="0"/>
        <v>1.3E-14</v>
      </c>
      <c r="M19" s="10">
        <f t="shared" si="2"/>
        <v>8.999999999999999E-13</v>
      </c>
      <c r="N19" s="10">
        <f t="shared" si="3"/>
        <v>8.9999999999999995E-15</v>
      </c>
      <c r="O19" s="10">
        <f t="shared" si="4"/>
        <v>8.9999999999999996E-12</v>
      </c>
      <c r="P19" s="10">
        <f t="shared" si="5"/>
        <v>8.9999999999999995E-14</v>
      </c>
      <c r="Q19" s="10">
        <f t="shared" si="6"/>
        <v>8.9999999999999996E-12</v>
      </c>
      <c r="R19" s="10">
        <f t="shared" si="7"/>
        <v>8.9999999999999995E-14</v>
      </c>
      <c r="S19" s="3"/>
      <c r="T19" s="3"/>
      <c r="V19" s="14">
        <v>0.78458159874049005</v>
      </c>
      <c r="W19" s="14">
        <v>0.75205107690361284</v>
      </c>
      <c r="X19" s="14">
        <v>0.74715743266262757</v>
      </c>
      <c r="Y19" s="14">
        <v>0.9316652099369066</v>
      </c>
      <c r="Z19" s="15">
        <v>911270.83333333326</v>
      </c>
      <c r="AA19" s="16">
        <v>53.606880742860227</v>
      </c>
      <c r="AB19" s="16">
        <v>0.77807233324678227</v>
      </c>
      <c r="AC19" s="7"/>
      <c r="AD19" s="8">
        <v>0.76104415077827536</v>
      </c>
      <c r="AE19" s="8">
        <v>2.2831324523348261E-2</v>
      </c>
      <c r="AF19" s="8">
        <v>0.72948954459650439</v>
      </c>
      <c r="AG19" s="8">
        <v>2.9179581783860178E-2</v>
      </c>
      <c r="AH19" s="8">
        <v>0.72474270968274868</v>
      </c>
      <c r="AI19" s="8">
        <v>3.6237135484137435E-2</v>
      </c>
      <c r="AJ19" s="8">
        <v>0.92234855783753755</v>
      </c>
      <c r="AK19" s="8">
        <v>9.2234855783753754E-3</v>
      </c>
      <c r="AL19" s="21">
        <v>738129.375</v>
      </c>
      <c r="AM19" s="21">
        <v>95956.818750000006</v>
      </c>
      <c r="AN19" s="22">
        <v>49.318330283431408</v>
      </c>
      <c r="AO19" s="22">
        <v>3.9454664226745129</v>
      </c>
      <c r="AP19" s="6">
        <v>0.7547301632493788</v>
      </c>
      <c r="AQ19" s="21">
        <v>328.99</v>
      </c>
      <c r="AR19" s="21">
        <v>4.04</v>
      </c>
      <c r="AS19" s="21">
        <v>443.22</v>
      </c>
      <c r="AT19" s="21">
        <v>15.94</v>
      </c>
    </row>
    <row r="20" spans="1:46">
      <c r="A20" s="3" t="s">
        <v>28</v>
      </c>
      <c r="B20" s="4" t="s">
        <v>20</v>
      </c>
      <c r="C20" s="5" t="s">
        <v>21</v>
      </c>
      <c r="D20" s="3" t="s">
        <v>8</v>
      </c>
      <c r="E20" s="3">
        <v>185</v>
      </c>
      <c r="F20" s="3">
        <v>95</v>
      </c>
      <c r="G20" s="3">
        <v>180</v>
      </c>
      <c r="H20" s="3">
        <v>90</v>
      </c>
      <c r="I20" s="3">
        <v>1</v>
      </c>
      <c r="J20" s="3"/>
      <c r="K20" s="10">
        <f t="shared" si="1"/>
        <v>1.3749999999999999E-12</v>
      </c>
      <c r="L20" s="10">
        <f t="shared" si="0"/>
        <v>1.375E-14</v>
      </c>
      <c r="M20" s="10">
        <f t="shared" si="2"/>
        <v>9.4999999999999999E-13</v>
      </c>
      <c r="N20" s="10">
        <f t="shared" si="3"/>
        <v>9.5000000000000005E-15</v>
      </c>
      <c r="O20" s="10">
        <f t="shared" si="4"/>
        <v>9.4999999999999995E-12</v>
      </c>
      <c r="P20" s="10">
        <f t="shared" si="5"/>
        <v>9.4999999999999999E-14</v>
      </c>
      <c r="Q20" s="10">
        <f t="shared" si="6"/>
        <v>9.4999999999999995E-12</v>
      </c>
      <c r="R20" s="10">
        <f t="shared" si="7"/>
        <v>9.4999999999999999E-14</v>
      </c>
      <c r="S20" s="3"/>
      <c r="T20" s="3"/>
      <c r="V20" s="14">
        <v>0.79823475148384349</v>
      </c>
      <c r="W20" s="14">
        <v>0.76790110458846284</v>
      </c>
      <c r="X20" s="14">
        <v>0.76334142982536946</v>
      </c>
      <c r="Y20" s="14">
        <v>0.93584247953075683</v>
      </c>
      <c r="Z20" s="15">
        <v>1296562.5</v>
      </c>
      <c r="AA20" s="16">
        <v>57.307677564423798</v>
      </c>
      <c r="AB20" s="16">
        <v>0.79216558156608841</v>
      </c>
      <c r="AC20" s="7"/>
      <c r="AD20" s="8">
        <v>0.77428770893932819</v>
      </c>
      <c r="AE20" s="8">
        <v>2.3228631268179846E-2</v>
      </c>
      <c r="AF20" s="8">
        <v>0.74486407145080891</v>
      </c>
      <c r="AG20" s="8">
        <v>2.9794562858032357E-2</v>
      </c>
      <c r="AH20" s="8">
        <v>0.74044118693060834</v>
      </c>
      <c r="AI20" s="8">
        <v>3.7022059346530418E-2</v>
      </c>
      <c r="AJ20" s="8">
        <v>0.92648405473544926</v>
      </c>
      <c r="AK20" s="8">
        <v>9.2648405473544932E-3</v>
      </c>
      <c r="AL20" s="21">
        <v>1050215.625</v>
      </c>
      <c r="AM20" s="21">
        <v>136528.03125</v>
      </c>
      <c r="AN20" s="22">
        <v>52.723063359269894</v>
      </c>
      <c r="AO20" s="22">
        <v>4.2178450687415916</v>
      </c>
      <c r="AP20" s="6">
        <v>0.76840061411910576</v>
      </c>
      <c r="AQ20" s="21">
        <v>329.65</v>
      </c>
      <c r="AR20" s="21">
        <v>4.05</v>
      </c>
      <c r="AS20" s="21">
        <v>435.54</v>
      </c>
      <c r="AT20" s="21">
        <v>15.69</v>
      </c>
    </row>
    <row r="21" spans="1:46">
      <c r="A21" s="3" t="s">
        <v>29</v>
      </c>
      <c r="B21" s="4" t="s">
        <v>20</v>
      </c>
      <c r="C21" s="5" t="s">
        <v>21</v>
      </c>
      <c r="D21" s="3" t="s">
        <v>8</v>
      </c>
      <c r="E21" s="3">
        <v>190</v>
      </c>
      <c r="F21" s="3">
        <v>100</v>
      </c>
      <c r="G21" s="3">
        <v>185</v>
      </c>
      <c r="H21" s="3">
        <v>95</v>
      </c>
      <c r="I21" s="3">
        <v>0</v>
      </c>
      <c r="J21" s="3"/>
      <c r="K21" s="10">
        <f t="shared" si="1"/>
        <v>1.4499999999999999E-12</v>
      </c>
      <c r="L21" s="10">
        <f t="shared" si="0"/>
        <v>1.4499999999999998E-14</v>
      </c>
      <c r="M21" s="10">
        <f t="shared" si="2"/>
        <v>9.9999999999999998E-13</v>
      </c>
      <c r="N21" s="10">
        <f t="shared" si="3"/>
        <v>1E-14</v>
      </c>
      <c r="O21" s="10">
        <f t="shared" si="4"/>
        <v>9.9999999999999994E-12</v>
      </c>
      <c r="P21" s="10">
        <f t="shared" si="5"/>
        <v>9.999999999999999E-14</v>
      </c>
      <c r="Q21" s="10">
        <f t="shared" si="6"/>
        <v>9.9999999999999994E-12</v>
      </c>
      <c r="R21" s="10">
        <f t="shared" si="7"/>
        <v>9.999999999999999E-14</v>
      </c>
      <c r="S21" s="3"/>
      <c r="T21" s="3"/>
      <c r="V21" s="14">
        <v>0.80981928622280697</v>
      </c>
      <c r="W21" s="14">
        <v>0.78127366376666663</v>
      </c>
      <c r="X21" s="14">
        <v>0.77698396332933339</v>
      </c>
      <c r="Y21" s="14">
        <v>0.93947334088645618</v>
      </c>
      <c r="Z21" s="15">
        <v>1781250</v>
      </c>
      <c r="AA21" s="16">
        <v>60.854897587233168</v>
      </c>
      <c r="AB21" s="16">
        <v>0.80410803995676539</v>
      </c>
      <c r="AC21" s="7"/>
      <c r="AD21" s="8">
        <v>0.7855247076361227</v>
      </c>
      <c r="AE21" s="8">
        <v>1.5710494152722455E-2</v>
      </c>
      <c r="AF21" s="8">
        <v>0.75783545385366657</v>
      </c>
      <c r="AG21" s="8">
        <v>2.2735063615609997E-2</v>
      </c>
      <c r="AH21" s="8">
        <v>0.75367444442945342</v>
      </c>
      <c r="AI21" s="8">
        <v>2.2610233332883603E-2</v>
      </c>
      <c r="AJ21" s="8">
        <v>0.93007860747759163</v>
      </c>
      <c r="AK21" s="8">
        <v>9.3007860747759165E-3</v>
      </c>
      <c r="AL21" s="21">
        <v>1442812.5</v>
      </c>
      <c r="AM21" s="21">
        <v>187565.625</v>
      </c>
      <c r="AN21" s="22">
        <v>55.986505780254518</v>
      </c>
      <c r="AO21" s="22">
        <v>4.4789204624203611</v>
      </c>
      <c r="AP21" s="6">
        <v>0.77998479875806237</v>
      </c>
      <c r="AQ21" s="21">
        <v>330.24</v>
      </c>
      <c r="AR21" s="21">
        <v>4.0599999999999996</v>
      </c>
      <c r="AS21" s="21">
        <v>429.33</v>
      </c>
      <c r="AT21" s="21">
        <v>10.25</v>
      </c>
    </row>
    <row r="22" spans="1:46">
      <c r="A22" s="3" t="s">
        <v>30</v>
      </c>
      <c r="B22" s="4" t="s">
        <v>20</v>
      </c>
      <c r="C22" s="5" t="s">
        <v>21</v>
      </c>
      <c r="D22" s="3" t="s">
        <v>8</v>
      </c>
      <c r="E22" s="3">
        <v>195</v>
      </c>
      <c r="F22" s="3">
        <v>105</v>
      </c>
      <c r="G22" s="3">
        <v>190</v>
      </c>
      <c r="H22" s="3">
        <v>100</v>
      </c>
      <c r="I22" s="3">
        <v>2</v>
      </c>
      <c r="J22" s="3"/>
      <c r="K22" s="10">
        <f t="shared" si="1"/>
        <v>1.5249999999999999E-12</v>
      </c>
      <c r="L22" s="10">
        <f t="shared" si="0"/>
        <v>1.5249999999999998E-14</v>
      </c>
      <c r="M22" s="10">
        <f t="shared" si="2"/>
        <v>1.05E-12</v>
      </c>
      <c r="N22" s="10">
        <f t="shared" si="3"/>
        <v>1.0499999999999999E-14</v>
      </c>
      <c r="O22" s="10">
        <f t="shared" si="4"/>
        <v>1.0499999999999999E-11</v>
      </c>
      <c r="P22" s="10">
        <f t="shared" si="5"/>
        <v>1.0499999999999999E-13</v>
      </c>
      <c r="Q22" s="10">
        <f t="shared" si="6"/>
        <v>1.0499999999999999E-11</v>
      </c>
      <c r="R22" s="10">
        <f t="shared" si="7"/>
        <v>1.0499999999999999E-13</v>
      </c>
      <c r="S22" s="3"/>
      <c r="T22" s="3"/>
      <c r="V22" s="14">
        <v>0.81006293634853932</v>
      </c>
      <c r="W22" s="14">
        <v>0.78115163686106914</v>
      </c>
      <c r="X22" s="14">
        <v>0.77679653485945765</v>
      </c>
      <c r="Y22" s="14">
        <v>0.94000871583140833</v>
      </c>
      <c r="Z22" s="15">
        <v>1303333.3333333333</v>
      </c>
      <c r="AA22" s="16">
        <v>60.908154258484096</v>
      </c>
      <c r="AB22" s="16">
        <v>0.80427700844086925</v>
      </c>
      <c r="AC22" s="7"/>
      <c r="AD22" s="8">
        <v>0.78576104825808313</v>
      </c>
      <c r="AE22" s="8">
        <v>1.5715220965161664E-2</v>
      </c>
      <c r="AF22" s="8">
        <v>0.75771708775523705</v>
      </c>
      <c r="AG22" s="8">
        <v>2.273151263265711E-2</v>
      </c>
      <c r="AH22" s="8">
        <v>0.7534926388136739</v>
      </c>
      <c r="AI22" s="8">
        <v>2.2604779164410217E-2</v>
      </c>
      <c r="AJ22" s="8">
        <v>0.93060862867309424</v>
      </c>
      <c r="AK22" s="8">
        <v>9.3060862867309427E-3</v>
      </c>
      <c r="AL22" s="21">
        <v>1055700</v>
      </c>
      <c r="AM22" s="21">
        <v>137241</v>
      </c>
      <c r="AN22" s="22">
        <v>56.035501917805369</v>
      </c>
      <c r="AO22" s="22">
        <v>4.48284015342443</v>
      </c>
      <c r="AP22" s="6">
        <v>0.7801486981876431</v>
      </c>
      <c r="AQ22" s="21">
        <v>330.77</v>
      </c>
      <c r="AR22" s="21">
        <v>4.0599999999999996</v>
      </c>
      <c r="AS22" s="21">
        <v>430.05</v>
      </c>
      <c r="AT22" s="21">
        <v>10.27</v>
      </c>
    </row>
  </sheetData>
  <conditionalFormatting sqref="W3:W22">
    <cfRule type="cellIs" dxfId="3" priority="2" stopIfTrue="1" operator="lessThan">
      <formula>$AU$3</formula>
    </cfRule>
  </conditionalFormatting>
  <conditionalFormatting sqref="X3:X22">
    <cfRule type="cellIs" dxfId="2" priority="3" stopIfTrue="1" operator="lessThan">
      <formula>$AW$3</formula>
    </cfRule>
  </conditionalFormatting>
  <conditionalFormatting sqref="Y3:AC22">
    <cfRule type="cellIs" dxfId="0" priority="4" stopIfTrue="1" operator="lessThan">
      <formula>$AY$3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2025-04-21T21:39:00Z</dcterms:created>
  <dcterms:modified xsi:type="dcterms:W3CDTF">2025-04-22T22:31:23Z</dcterms:modified>
</cp:coreProperties>
</file>