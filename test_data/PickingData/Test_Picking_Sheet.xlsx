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/>
  <mc:AlternateContent xmlns:mc="http://schemas.openxmlformats.org/markup-compatibility/2006">
    <mc:Choice Requires="x15">
      <x15ac:absPath xmlns:x15ac="http://schemas.microsoft.com/office/spreadsheetml/2010/11/ac" url="/Users/Daven/Projects/Sparrow/Labs/Sparrow-CU-TRaIL/test_data/PickingData/"/>
    </mc:Choice>
  </mc:AlternateContent>
  <xr:revisionPtr revIDLastSave="0" documentId="13_ncr:1_{3C960052-3BC9-E243-89C4-78FD302FB58B}" xr6:coauthVersionLast="47" xr6:coauthVersionMax="47" xr10:uidLastSave="{00000000-0000-0000-0000-000000000000}"/>
  <bookViews>
    <workbookView xWindow="4340" yWindow="1540" windowWidth="25880" windowHeight="20040" tabRatio="500" xr2:uid="{00000000-000D-0000-FFFF-FFFF00000000}"/>
  </bookViews>
  <sheets>
    <sheet name="master" sheetId="1" r:id="rId1"/>
  </sheets>
  <definedNames>
    <definedName name="_xlnm.Print_Area" localSheetId="0">master!$A$2:$U$11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A12" i="1"/>
  <c r="A13" i="1"/>
  <c r="A14" i="1"/>
  <c r="G12" i="1"/>
  <c r="G13" i="1"/>
  <c r="G14" i="1"/>
  <c r="A7" i="1"/>
  <c r="A8" i="1"/>
  <c r="A9" i="1"/>
  <c r="A10" i="1"/>
  <c r="A11" i="1"/>
  <c r="AG11" i="1"/>
  <c r="AH11" i="1"/>
  <c r="AE11" i="1"/>
  <c r="AF11" i="1"/>
  <c r="AL11" i="1"/>
  <c r="AG10" i="1"/>
  <c r="AH10" i="1"/>
  <c r="AE10" i="1"/>
  <c r="AF10" i="1"/>
  <c r="AL10" i="1"/>
  <c r="AG9" i="1"/>
  <c r="AH9" i="1"/>
  <c r="AE9" i="1"/>
  <c r="AF9" i="1"/>
  <c r="AL9" i="1"/>
  <c r="AG8" i="1"/>
  <c r="AH8" i="1"/>
  <c r="AE8" i="1"/>
  <c r="AF8" i="1"/>
  <c r="AL8" i="1"/>
  <c r="AG7" i="1"/>
  <c r="AH7" i="1"/>
  <c r="AE7" i="1"/>
  <c r="AF7" i="1"/>
  <c r="AL7" i="1"/>
  <c r="G5" i="1"/>
  <c r="G4" i="1"/>
  <c r="G3" i="1"/>
  <c r="AG14" i="1"/>
  <c r="AH14" i="1"/>
  <c r="AF14" i="1"/>
  <c r="AG13" i="1"/>
  <c r="AH13" i="1"/>
  <c r="AG12" i="1"/>
  <c r="AH12" i="1"/>
  <c r="AG5" i="1"/>
  <c r="AH5" i="1"/>
  <c r="AG4" i="1"/>
  <c r="AH4" i="1"/>
  <c r="AG3" i="1"/>
  <c r="AH3" i="1"/>
  <c r="AE4" i="1"/>
  <c r="AI4" i="1"/>
  <c r="AE5" i="1"/>
  <c r="AJ5" i="1"/>
  <c r="AF4" i="1"/>
  <c r="AK4" i="1"/>
  <c r="AF5" i="1"/>
  <c r="AK5" i="1"/>
  <c r="AF12" i="1"/>
  <c r="AE12" i="1"/>
  <c r="AJ12" i="1"/>
  <c r="AE3" i="1"/>
  <c r="AI3" i="1"/>
  <c r="AE13" i="1"/>
  <c r="AI13" i="1"/>
  <c r="AJ13" i="1"/>
  <c r="AA13" i="1"/>
  <c r="AF13" i="1"/>
  <c r="AF3" i="1"/>
  <c r="AI5" i="1"/>
  <c r="AA5" i="1"/>
  <c r="AL4" i="1"/>
  <c r="AB4" i="1"/>
  <c r="AJ4" i="1"/>
  <c r="AA4" i="1"/>
  <c r="AL5" i="1"/>
  <c r="AJ3" i="1"/>
  <c r="AA3" i="1"/>
  <c r="AI12" i="1"/>
  <c r="AA12" i="1"/>
  <c r="AK12" i="1"/>
  <c r="AL12" i="1"/>
  <c r="AL3" i="1"/>
  <c r="AK3" i="1"/>
  <c r="AL13" i="1"/>
  <c r="AK13" i="1"/>
  <c r="AB13" i="1"/>
  <c r="AB5" i="1"/>
  <c r="AB3" i="1"/>
  <c r="AB12" i="1"/>
  <c r="AL14" i="1"/>
  <c r="AK14" i="1"/>
  <c r="AB14" i="1"/>
  <c r="AE14" i="1"/>
  <c r="AJ9" i="1"/>
  <c r="AI9" i="1"/>
  <c r="AA9" i="1"/>
  <c r="AJ10" i="1"/>
  <c r="AI10" i="1"/>
  <c r="AA10" i="1"/>
  <c r="AJ7" i="1"/>
  <c r="AI7" i="1"/>
  <c r="AA7" i="1"/>
  <c r="AJ11" i="1"/>
  <c r="AI11" i="1"/>
  <c r="AJ8" i="1"/>
  <c r="AI8" i="1"/>
  <c r="AK7" i="1"/>
  <c r="AB7" i="1"/>
  <c r="AK8" i="1"/>
  <c r="AB8" i="1"/>
  <c r="AK9" i="1"/>
  <c r="AB9" i="1"/>
  <c r="AK10" i="1"/>
  <c r="AB10" i="1"/>
  <c r="AK11" i="1"/>
  <c r="AB11" i="1"/>
  <c r="AJ14" i="1"/>
  <c r="AI14" i="1"/>
  <c r="AA14" i="1"/>
  <c r="AA8" i="1"/>
  <c r="AA11" i="1"/>
  <c r="G7" i="1"/>
</calcChain>
</file>

<file path=xl/sharedStrings.xml><?xml version="1.0" encoding="utf-8"?>
<sst xmlns="http://schemas.openxmlformats.org/spreadsheetml/2006/main" count="216" uniqueCount="95">
  <si>
    <t>Sample</t>
  </si>
  <si>
    <t>L1</t>
  </si>
  <si>
    <t>W1</t>
  </si>
  <si>
    <t>L2</t>
  </si>
  <si>
    <t>W2</t>
  </si>
  <si>
    <t>Apatite Ft</t>
  </si>
  <si>
    <t>Zircon Ft</t>
  </si>
  <si>
    <t>Bap</t>
  </si>
  <si>
    <t>Bz</t>
  </si>
  <si>
    <t>Lavg</t>
  </si>
  <si>
    <t>R</t>
  </si>
  <si>
    <t>Ap Uft</t>
  </si>
  <si>
    <t>Ap ThFt</t>
  </si>
  <si>
    <t>Z Uft</t>
  </si>
  <si>
    <t>Z ThFt</t>
  </si>
  <si>
    <t>Np (0,1, or 2)</t>
  </si>
  <si>
    <t>Surface Roughness: See GEM grid, describe how planar and smooth the crystal faces are</t>
  </si>
  <si>
    <t>Definitions</t>
  </si>
  <si>
    <t>Sample: A unique name for your sample. Please, if your sample names are long, shorten them to make it easier for lab staff.</t>
  </si>
  <si>
    <t>Priority?</t>
  </si>
  <si>
    <t>Date Packed</t>
  </si>
  <si>
    <t>Additional descriptive notes</t>
  </si>
  <si>
    <t>Sample Name and Aliquot</t>
  </si>
  <si>
    <t>Dimensions and Terminations</t>
  </si>
  <si>
    <t>Crystal Notes and Description (see details to right)</t>
  </si>
  <si>
    <r>
      <t xml:space="preserve">Aliquot             </t>
    </r>
    <r>
      <rPr>
        <b/>
        <sz val="11"/>
        <color theme="1"/>
        <rFont val="Calibri (Body)"/>
      </rPr>
      <t>(label a01, a02, z01, z02, etc.)</t>
    </r>
  </si>
  <si>
    <t>Color (apatite) or Clarity (zircon)</t>
  </si>
  <si>
    <t>Surface Color or Staining</t>
  </si>
  <si>
    <t>Mineral Inclusions? (should be avoided for apatite, see notes for zircons)</t>
  </si>
  <si>
    <t>Fluid Inclusions? (should be avoided for all grains)</t>
  </si>
  <si>
    <t xml:space="preserve">Aliquot: A modifier to the sample name, such as a01, a02, z01, t01, or gt01, that indicates the mineral that was packed and the packet number. </t>
  </si>
  <si>
    <t>Surface Color or Staining: Describe any stains or coatings that appear on the grain.</t>
  </si>
  <si>
    <t>Packet Identifier</t>
  </si>
  <si>
    <t>JMDV07</t>
  </si>
  <si>
    <t>a01</t>
  </si>
  <si>
    <t>EXAMPLE</t>
  </si>
  <si>
    <t>bright pink at maximum birefringence</t>
  </si>
  <si>
    <t>JMDV05</t>
  </si>
  <si>
    <t>z01</t>
  </si>
  <si>
    <t>Packet Identifier: This will autopopulate a combined sample and aliquot name that will be used to track the sample during analysis.</t>
  </si>
  <si>
    <t>Analyst</t>
  </si>
  <si>
    <t>Metcalf</t>
  </si>
  <si>
    <t>Analyst: This is the person who should receive the data. Normally this will be the same as the person packing the sample, unless you are preparing samples for another person</t>
  </si>
  <si>
    <t>No staining at all</t>
  </si>
  <si>
    <t>B</t>
  </si>
  <si>
    <t>Surface Roughness (GEM chart)</t>
  </si>
  <si>
    <t>Idealness of xtal form (GEM chart)</t>
  </si>
  <si>
    <t>No visible mineral inclusions</t>
  </si>
  <si>
    <t>No visible fluid inclusions</t>
  </si>
  <si>
    <t>Surface roughness makes it a bit difficult to be 100% sure of inclusions</t>
  </si>
  <si>
    <t>HIGH</t>
  </si>
  <si>
    <t>Some rust colored staining on one termination</t>
  </si>
  <si>
    <t>about 5 mineral inclusions dispersed evenly through grain</t>
  </si>
  <si>
    <t>It has two terminations, but one of them is slightly chipped</t>
  </si>
  <si>
    <t>LOW</t>
  </si>
  <si>
    <t>JMDV03</t>
  </si>
  <si>
    <t>t01</t>
  </si>
  <si>
    <t>moderately opaque, still transparent but cloudy</t>
  </si>
  <si>
    <t>a few small spherical inclusions near the center of the grain</t>
  </si>
  <si>
    <t>Very good wedge shaped grain</t>
  </si>
  <si>
    <t>MEDIUM</t>
  </si>
  <si>
    <t>grey green titanite, no birefringence</t>
  </si>
  <si>
    <t>Geometry (1,2,3, or 4, see chart)</t>
  </si>
  <si>
    <t>Shard (Y or N)?</t>
  </si>
  <si>
    <t>N</t>
  </si>
  <si>
    <t>Special Analytical Instructions</t>
  </si>
  <si>
    <t>dissolve as apatite</t>
  </si>
  <si>
    <t>dissolve as zircon</t>
  </si>
  <si>
    <t>Mineral (a, z, t, or m)</t>
  </si>
  <si>
    <t>a</t>
  </si>
  <si>
    <t>z</t>
  </si>
  <si>
    <t>t</t>
  </si>
  <si>
    <t>A</t>
  </si>
  <si>
    <t>Lab/Owner</t>
  </si>
  <si>
    <t>Funding</t>
  </si>
  <si>
    <t>TRaIL</t>
  </si>
  <si>
    <t>Firmino</t>
  </si>
  <si>
    <t>LFC</t>
  </si>
  <si>
    <t>Flowers NASA</t>
  </si>
  <si>
    <t>Metcalf Nevada</t>
  </si>
  <si>
    <t>Metcalf Anfield</t>
  </si>
  <si>
    <t>Lab/Owner: This is the group that owns the data, the lab or advisor</t>
  </si>
  <si>
    <t>Funding: This is really just "who to bill," but can include more information if you want to split bills</t>
  </si>
  <si>
    <t>Color (apatite) or Clarity (zircon): For zircons, describe the opacity or clarity of the grain. For apatites, describe the brightest birefringence color you can obtain from the grain.</t>
  </si>
  <si>
    <t>none noted</t>
  </si>
  <si>
    <t>z1</t>
  </si>
  <si>
    <t>z2</t>
  </si>
  <si>
    <t>z3</t>
  </si>
  <si>
    <t>testap1</t>
  </si>
  <si>
    <t>a1</t>
  </si>
  <si>
    <t>a2</t>
  </si>
  <si>
    <t>a3</t>
  </si>
  <si>
    <t>a4</t>
  </si>
  <si>
    <t>a5</t>
  </si>
  <si>
    <t>testzirc1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</si>
</sst>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i/>
      <sz val="12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(Body)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0" fillId="0" borderId="3" xfId="0" applyBorder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0" fontId="0" fillId="0" borderId="4" xfId="0" applyBorder="1"/>
    <xf numFmtId="164" fontId="1" fillId="0" borderId="2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/>
        <strike val="0"/>
        <u val="none"/>
        <color rgb="FFFF000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84"/>
  <sheetViews>
    <sheetView tabSelected="1" topLeftCell="A2" zoomScale="109" zoomScaleNormal="109" workbookViewId="0">
      <selection activeCell="X17" sqref="X17"/>
    </sheetView>
  </sheetViews>
  <sheetFormatPr baseColWidth="10" defaultColWidth="11" defaultRowHeight="16" x14ac:dyDescent="0.2"/>
  <cols>
    <col min="1" max="3" width="12" customWidth="1"/>
    <col min="4" max="4" width="16.6640625" customWidth="1"/>
    <col min="5" max="8" width="15.5" style="2" customWidth="1"/>
    <col min="9" max="10" width="27.83203125" customWidth="1"/>
    <col min="11" max="13" width="15.83203125" style="2" customWidth="1"/>
    <col min="14" max="14" width="12.6640625" style="2" customWidth="1"/>
    <col min="15" max="17" width="27.83203125" customWidth="1"/>
    <col min="18" max="21" width="7.5" style="1" customWidth="1"/>
    <col min="22" max="22" width="9" style="2" customWidth="1"/>
    <col min="23" max="23" width="18.1640625" style="2" customWidth="1"/>
    <col min="24" max="24" width="11" style="2"/>
    <col min="26" max="26" width="4.1640625" customWidth="1"/>
    <col min="27" max="28" width="11" style="8"/>
    <col min="29" max="29" width="4.1640625" customWidth="1"/>
    <col min="31" max="38" width="0" hidden="1" customWidth="1"/>
  </cols>
  <sheetData>
    <row r="1" spans="1:38" ht="19" x14ac:dyDescent="0.25">
      <c r="A1" s="17"/>
      <c r="E1" s="18" t="s">
        <v>22</v>
      </c>
      <c r="F1" s="20"/>
      <c r="K1" s="29"/>
      <c r="L1" s="22" t="s">
        <v>24</v>
      </c>
      <c r="M1" s="29"/>
      <c r="N1" s="29"/>
      <c r="O1" s="16"/>
      <c r="P1" s="16"/>
      <c r="Q1" s="23"/>
      <c r="R1" s="25"/>
      <c r="S1" s="28"/>
      <c r="T1" s="28" t="s">
        <v>23</v>
      </c>
      <c r="V1" s="20"/>
      <c r="X1" s="30"/>
      <c r="Y1" s="26"/>
    </row>
    <row r="2" spans="1:38" s="12" customFormat="1" ht="52" customHeight="1" x14ac:dyDescent="0.2">
      <c r="A2" s="19" t="s">
        <v>0</v>
      </c>
      <c r="B2" s="10" t="s">
        <v>73</v>
      </c>
      <c r="C2" s="10" t="s">
        <v>40</v>
      </c>
      <c r="D2" s="10" t="s">
        <v>74</v>
      </c>
      <c r="E2" s="10" t="s">
        <v>0</v>
      </c>
      <c r="F2" s="21" t="s">
        <v>25</v>
      </c>
      <c r="G2" s="10" t="s">
        <v>32</v>
      </c>
      <c r="H2" s="10" t="s">
        <v>68</v>
      </c>
      <c r="I2" s="11" t="s">
        <v>26</v>
      </c>
      <c r="J2" s="11" t="s">
        <v>27</v>
      </c>
      <c r="K2" s="11" t="s">
        <v>45</v>
      </c>
      <c r="L2" s="11" t="s">
        <v>46</v>
      </c>
      <c r="M2" s="11" t="s">
        <v>62</v>
      </c>
      <c r="N2" s="11" t="s">
        <v>63</v>
      </c>
      <c r="O2" s="11" t="s">
        <v>28</v>
      </c>
      <c r="P2" s="11" t="s">
        <v>29</v>
      </c>
      <c r="Q2" s="24" t="s">
        <v>21</v>
      </c>
      <c r="R2" s="27" t="s">
        <v>1</v>
      </c>
      <c r="S2" s="11" t="s">
        <v>2</v>
      </c>
      <c r="T2" s="11" t="s">
        <v>3</v>
      </c>
      <c r="U2" s="11" t="s">
        <v>4</v>
      </c>
      <c r="V2" s="24" t="s">
        <v>15</v>
      </c>
      <c r="W2" s="11" t="s">
        <v>65</v>
      </c>
      <c r="X2" s="27" t="s">
        <v>19</v>
      </c>
      <c r="Y2" s="24" t="s">
        <v>20</v>
      </c>
      <c r="AA2" s="10" t="s">
        <v>5</v>
      </c>
      <c r="AB2" s="10" t="s">
        <v>6</v>
      </c>
      <c r="AD2" s="14" t="s">
        <v>17</v>
      </c>
      <c r="AE2" s="13" t="s">
        <v>7</v>
      </c>
      <c r="AF2" s="13" t="s">
        <v>8</v>
      </c>
      <c r="AG2" s="13" t="s">
        <v>9</v>
      </c>
      <c r="AH2" s="13" t="s">
        <v>10</v>
      </c>
      <c r="AI2" s="13" t="s">
        <v>11</v>
      </c>
      <c r="AJ2" s="13" t="s">
        <v>12</v>
      </c>
      <c r="AK2" s="13" t="s">
        <v>13</v>
      </c>
      <c r="AL2" s="13" t="s">
        <v>14</v>
      </c>
    </row>
    <row r="3" spans="1:38" s="3" customFormat="1" ht="17" customHeight="1" x14ac:dyDescent="0.2">
      <c r="A3" s="5" t="s">
        <v>35</v>
      </c>
      <c r="B3" s="5" t="s">
        <v>75</v>
      </c>
      <c r="C3" s="5" t="s">
        <v>41</v>
      </c>
      <c r="D3" s="35" t="s">
        <v>79</v>
      </c>
      <c r="E3" s="4" t="s">
        <v>33</v>
      </c>
      <c r="F3" s="4" t="s">
        <v>34</v>
      </c>
      <c r="G3" s="4" t="str">
        <f>CONCATENATE(E3,"_",F3)</f>
        <v>JMDV07_a01</v>
      </c>
      <c r="H3" s="4" t="s">
        <v>69</v>
      </c>
      <c r="I3" s="3" t="s">
        <v>36</v>
      </c>
      <c r="J3" s="3" t="s">
        <v>43</v>
      </c>
      <c r="K3" s="4">
        <v>1</v>
      </c>
      <c r="L3" s="4" t="s">
        <v>72</v>
      </c>
      <c r="M3" s="4">
        <v>4</v>
      </c>
      <c r="N3" s="4" t="s">
        <v>64</v>
      </c>
      <c r="O3" s="3" t="s">
        <v>47</v>
      </c>
      <c r="P3" s="3" t="s">
        <v>48</v>
      </c>
      <c r="Q3" s="3" t="s">
        <v>49</v>
      </c>
      <c r="R3" s="6">
        <v>125.1</v>
      </c>
      <c r="S3" s="6">
        <v>84</v>
      </c>
      <c r="T3" s="6">
        <v>124.8</v>
      </c>
      <c r="U3" s="6">
        <v>65</v>
      </c>
      <c r="V3" s="4">
        <v>2</v>
      </c>
      <c r="W3" s="4" t="s">
        <v>66</v>
      </c>
      <c r="X3" s="33" t="s">
        <v>50</v>
      </c>
      <c r="Y3" s="32">
        <v>27931</v>
      </c>
      <c r="AA3" s="9">
        <f t="shared" ref="AA3:AA5" si="0">(1/1.249)*AI3+(1-(1/1.249))*AJ3</f>
        <v>0.63178282764811788</v>
      </c>
      <c r="AB3" s="9">
        <f t="shared" ref="AB3:AB5" si="1">(1/1.249)*AK3+(1-(1/1.249))*AL3</f>
        <v>0.75938352066407977</v>
      </c>
      <c r="AD3" s="15" t="s">
        <v>81</v>
      </c>
      <c r="AE3" s="7">
        <f>(2.31*AG3+2*AH3)/(AH3*AG3)</f>
        <v>7.801982537981636E-2</v>
      </c>
      <c r="AF3" s="7">
        <f>(4*AG3+4+AH3)/(AG3*2*AH3)</f>
        <v>5.8122577890216486E-2</v>
      </c>
      <c r="AG3" s="7">
        <f t="shared" ref="AG3:AG5" si="2">(R3+T3)/2</f>
        <v>124.94999999999999</v>
      </c>
      <c r="AH3" s="7">
        <f t="shared" ref="AH3:AH5" si="3">(S3+U3)/4</f>
        <v>37.25</v>
      </c>
      <c r="AI3" s="7">
        <f>1+(-5.13)*AE3+(6.79)*AE3^2</f>
        <v>0.64108965830563902</v>
      </c>
      <c r="AJ3" s="7">
        <f>1+(-5.9)*AE3+8.99*AE3^2</f>
        <v>0.59440599769823377</v>
      </c>
      <c r="AK3" s="7">
        <f>1+(-4.31)*AF3+4.92*AF3^2</f>
        <v>0.76611260087133992</v>
      </c>
      <c r="AL3" s="7">
        <f>1+(-5)*AF3+6.8*AF3^2</f>
        <v>0.73235910216102673</v>
      </c>
    </row>
    <row r="4" spans="1:38" s="3" customFormat="1" ht="17" customHeight="1" x14ac:dyDescent="0.2">
      <c r="A4" s="5" t="s">
        <v>35</v>
      </c>
      <c r="B4" s="5" t="s">
        <v>75</v>
      </c>
      <c r="C4" s="5" t="s">
        <v>41</v>
      </c>
      <c r="D4" s="35" t="s">
        <v>78</v>
      </c>
      <c r="E4" s="4" t="s">
        <v>37</v>
      </c>
      <c r="F4" s="4" t="s">
        <v>38</v>
      </c>
      <c r="G4" s="4" t="str">
        <f t="shared" ref="G4:G5" si="4">CONCATENATE(E4,"_",F4)</f>
        <v>JMDV05_z01</v>
      </c>
      <c r="H4" s="4" t="s">
        <v>70</v>
      </c>
      <c r="I4" s="3" t="s">
        <v>57</v>
      </c>
      <c r="J4" s="3" t="s">
        <v>51</v>
      </c>
      <c r="K4" s="4">
        <v>2</v>
      </c>
      <c r="L4" s="4" t="s">
        <v>44</v>
      </c>
      <c r="M4" s="4">
        <v>3</v>
      </c>
      <c r="N4" s="4" t="s">
        <v>64</v>
      </c>
      <c r="O4" s="3" t="s">
        <v>52</v>
      </c>
      <c r="P4" s="3" t="s">
        <v>48</v>
      </c>
      <c r="Q4" s="3" t="s">
        <v>53</v>
      </c>
      <c r="R4" s="6">
        <v>230.1</v>
      </c>
      <c r="S4" s="6">
        <v>123.3</v>
      </c>
      <c r="T4" s="6">
        <v>228.7</v>
      </c>
      <c r="U4" s="6">
        <v>110.3</v>
      </c>
      <c r="V4" s="4">
        <v>2</v>
      </c>
      <c r="W4" s="4" t="s">
        <v>67</v>
      </c>
      <c r="X4" s="34" t="s">
        <v>54</v>
      </c>
      <c r="Y4" s="32">
        <v>27931</v>
      </c>
      <c r="AA4" s="9">
        <f t="shared" si="0"/>
        <v>0.76179306219460907</v>
      </c>
      <c r="AB4" s="9">
        <f t="shared" si="1"/>
        <v>0.84441169958686535</v>
      </c>
      <c r="AD4" s="15" t="s">
        <v>42</v>
      </c>
      <c r="AE4" s="7">
        <f>(2.31*AG4+2*AH4)/(AH4*AG4)</f>
        <v>4.8273190335717954E-2</v>
      </c>
      <c r="AF4" s="7">
        <f>(4*AG4+4+AH4)/(AG4*2*AH4)</f>
        <v>3.6575461895833085E-2</v>
      </c>
      <c r="AG4" s="7">
        <f t="shared" si="2"/>
        <v>229.39999999999998</v>
      </c>
      <c r="AH4" s="7">
        <f t="shared" si="3"/>
        <v>58.4</v>
      </c>
      <c r="AI4" s="7">
        <f>1+(-5.13)*AE4+(6.79)*AE4^2</f>
        <v>0.7681812767239965</v>
      </c>
      <c r="AJ4" s="7">
        <f>1+(-5.9)*AE4+8.99*AE4^2</f>
        <v>0.73613758215690828</v>
      </c>
      <c r="AK4" s="7">
        <f>1+(-4.31)*AF4+4.92*AF4^2</f>
        <v>0.84894156014039568</v>
      </c>
      <c r="AL4" s="7">
        <f>1+(-5)*AF4+6.8*AF4^2</f>
        <v>0.82621948852851068</v>
      </c>
    </row>
    <row r="5" spans="1:38" s="3" customFormat="1" ht="17" customHeight="1" x14ac:dyDescent="0.2">
      <c r="A5" s="5" t="s">
        <v>35</v>
      </c>
      <c r="B5" s="5" t="s">
        <v>77</v>
      </c>
      <c r="C5" s="5" t="s">
        <v>76</v>
      </c>
      <c r="D5" s="35" t="s">
        <v>80</v>
      </c>
      <c r="E5" s="4" t="s">
        <v>55</v>
      </c>
      <c r="F5" s="4" t="s">
        <v>56</v>
      </c>
      <c r="G5" s="4" t="str">
        <f t="shared" si="4"/>
        <v>JMDV03_t01</v>
      </c>
      <c r="H5" s="4" t="s">
        <v>71</v>
      </c>
      <c r="I5" s="3" t="s">
        <v>61</v>
      </c>
      <c r="J5" s="3" t="s">
        <v>43</v>
      </c>
      <c r="K5" s="4">
        <v>1</v>
      </c>
      <c r="L5" s="4" t="s">
        <v>72</v>
      </c>
      <c r="M5" s="4">
        <v>3</v>
      </c>
      <c r="N5" s="4" t="s">
        <v>64</v>
      </c>
      <c r="O5" s="3" t="s">
        <v>47</v>
      </c>
      <c r="P5" s="3" t="s">
        <v>58</v>
      </c>
      <c r="Q5" s="3" t="s">
        <v>59</v>
      </c>
      <c r="R5" s="6">
        <v>300.10000000000002</v>
      </c>
      <c r="S5" s="6">
        <v>280.10000000000002</v>
      </c>
      <c r="T5" s="6">
        <v>305.2</v>
      </c>
      <c r="U5" s="6">
        <v>80.599999999999994</v>
      </c>
      <c r="V5" s="4">
        <v>0</v>
      </c>
      <c r="W5" s="4" t="s">
        <v>67</v>
      </c>
      <c r="X5" s="31" t="s">
        <v>60</v>
      </c>
      <c r="Y5" s="32">
        <v>27931</v>
      </c>
      <c r="AA5" s="9">
        <f t="shared" si="0"/>
        <v>0.83724480756672193</v>
      </c>
      <c r="AB5" s="9">
        <f t="shared" si="1"/>
        <v>0.89670912708745565</v>
      </c>
      <c r="AD5" s="15" t="s">
        <v>82</v>
      </c>
      <c r="AE5" s="7">
        <f t="shared" ref="AE5" si="5">(2.31*AG5+2*AH5)/(AH5*AG5)</f>
        <v>3.2225149521340715E-2</v>
      </c>
      <c r="AF5" s="7">
        <f t="shared" ref="AF5" si="6">(4*AG5+4+AH5)/(AG5*2*AH5)</f>
        <v>2.3904452541502096E-2</v>
      </c>
      <c r="AG5" s="7">
        <f t="shared" si="2"/>
        <v>302.64999999999998</v>
      </c>
      <c r="AH5" s="7">
        <f t="shared" si="3"/>
        <v>90.175000000000011</v>
      </c>
      <c r="AI5" s="7">
        <f t="shared" ref="AI5" si="7">1+(-5.13)*AE5+(6.79)*AE5^2</f>
        <v>0.84173612813228016</v>
      </c>
      <c r="AJ5" s="7">
        <f t="shared" ref="AJ5" si="8">1+(-5.9)*AE5+8.99*AE5^2</f>
        <v>0.8192073755765279</v>
      </c>
      <c r="AK5" s="7">
        <f t="shared" ref="AK5" si="9">1+(-4.31)*AF5+4.92*AF5^2</f>
        <v>0.89978320997456596</v>
      </c>
      <c r="AL5" s="7">
        <f t="shared" ref="AL5" si="10">1+(-5)*AF5+6.8*AF5^2</f>
        <v>0.88436341268139018</v>
      </c>
    </row>
    <row r="6" spans="1:38" s="3" customFormat="1" ht="17" customHeight="1" x14ac:dyDescent="0.2">
      <c r="A6" s="5"/>
      <c r="B6" s="5"/>
      <c r="C6" s="5"/>
      <c r="D6" s="35"/>
      <c r="E6" s="4"/>
      <c r="F6" s="4"/>
      <c r="G6" s="4"/>
      <c r="H6" s="4"/>
      <c r="K6" s="4"/>
      <c r="L6" s="4"/>
      <c r="M6" s="4"/>
      <c r="N6" s="4"/>
      <c r="R6" s="6"/>
      <c r="S6" s="6"/>
      <c r="T6" s="6"/>
      <c r="U6" s="6"/>
      <c r="V6" s="4"/>
      <c r="W6" s="4"/>
      <c r="X6" s="31"/>
      <c r="Y6" s="32"/>
      <c r="AA6" s="9"/>
      <c r="AB6" s="9"/>
      <c r="AD6" s="15" t="s">
        <v>18</v>
      </c>
      <c r="AE6" s="7"/>
      <c r="AF6" s="7"/>
      <c r="AG6" s="7"/>
      <c r="AH6" s="7"/>
      <c r="AI6" s="7"/>
      <c r="AJ6" s="7"/>
      <c r="AK6" s="7"/>
      <c r="AL6" s="7"/>
    </row>
    <row r="7" spans="1:38" s="3" customFormat="1" ht="17" customHeight="1" x14ac:dyDescent="0.2">
      <c r="A7" s="5">
        <f t="shared" ref="A7:A14" si="11">A6+1</f>
        <v>1</v>
      </c>
      <c r="B7" s="5" t="s">
        <v>75</v>
      </c>
      <c r="C7" s="5" t="s">
        <v>41</v>
      </c>
      <c r="D7" s="3" t="s">
        <v>75</v>
      </c>
      <c r="E7" s="4" t="s">
        <v>88</v>
      </c>
      <c r="F7" s="4" t="s">
        <v>89</v>
      </c>
      <c r="G7" s="4" t="str">
        <f t="shared" ref="G7:G11" si="12">CONCATENATE(E7,"_",F7)</f>
        <v>testap1_a1</v>
      </c>
      <c r="H7" s="4" t="s">
        <v>69</v>
      </c>
      <c r="I7" s="3" t="s">
        <v>84</v>
      </c>
      <c r="J7" s="3" t="s">
        <v>84</v>
      </c>
      <c r="K7" s="4">
        <v>1</v>
      </c>
      <c r="L7" s="4" t="s">
        <v>72</v>
      </c>
      <c r="M7" s="4">
        <v>4</v>
      </c>
      <c r="N7" s="4" t="s">
        <v>64</v>
      </c>
      <c r="O7" s="3" t="s">
        <v>84</v>
      </c>
      <c r="P7" s="3" t="s">
        <v>84</v>
      </c>
      <c r="Q7" s="3" t="s">
        <v>84</v>
      </c>
      <c r="R7" s="6">
        <v>151.22999999999999</v>
      </c>
      <c r="S7" s="6">
        <v>88.35</v>
      </c>
      <c r="T7" s="6">
        <v>148.97999999999999</v>
      </c>
      <c r="U7" s="6">
        <v>68.47</v>
      </c>
      <c r="V7" s="4">
        <v>2</v>
      </c>
      <c r="W7" s="4" t="s">
        <v>66</v>
      </c>
      <c r="X7" s="33" t="s">
        <v>50</v>
      </c>
      <c r="Y7" s="32">
        <v>45125</v>
      </c>
      <c r="AA7" s="9">
        <f t="shared" ref="AA7:AA11" si="13">(1/1.249)*AI7+(1-(1/1.249))*AJ7</f>
        <v>0.65602125949641343</v>
      </c>
      <c r="AB7" s="9">
        <f t="shared" ref="AB7:AB11" si="14">(1/1.249)*AK7+(1-(1/1.249))*AL7</f>
        <v>0.7726200436773869</v>
      </c>
      <c r="AD7" s="15" t="s">
        <v>30</v>
      </c>
      <c r="AE7" s="7">
        <f t="shared" ref="AE7:AE11" si="15">(2.31*AG7+2*AH7)/(AH7*AG7)</f>
        <v>7.2245062516519867E-2</v>
      </c>
      <c r="AF7" s="7">
        <f t="shared" ref="AF7:AF11" si="16">(4*AG7+4+AH7)/(AG7*2*AH7)</f>
        <v>5.4684757697201984E-2</v>
      </c>
      <c r="AG7" s="7">
        <f t="shared" ref="AG7:AG11" si="17">(R7+T7)/2</f>
        <v>150.10499999999999</v>
      </c>
      <c r="AH7" s="7">
        <f t="shared" ref="AH7:AH11" si="18">(S7+U7)/4</f>
        <v>39.204999999999998</v>
      </c>
      <c r="AI7" s="7">
        <f t="shared" ref="AI7:AI11" si="19">1+(-5.13)*AE7+(6.79)*AE7^2</f>
        <v>0.66482220939418069</v>
      </c>
      <c r="AJ7" s="7">
        <f t="shared" ref="AJ7:AJ11" si="20">1+(-5.9)*AE7+8.99*AE7^2</f>
        <v>0.62067607918409529</v>
      </c>
      <c r="AK7" s="7">
        <f t="shared" ref="AK7:AK11" si="21">1+(-4.31)*AF7+4.92*AF7^2</f>
        <v>0.77902157412911577</v>
      </c>
      <c r="AL7" s="7">
        <f t="shared" ref="AL7:AL11" si="22">1+(-5)*AF7+6.8*AF7^2</f>
        <v>0.74691108603992162</v>
      </c>
    </row>
    <row r="8" spans="1:38" s="3" customFormat="1" ht="17" customHeight="1" x14ac:dyDescent="0.2">
      <c r="A8" s="5">
        <f t="shared" si="11"/>
        <v>2</v>
      </c>
      <c r="B8" s="5" t="s">
        <v>75</v>
      </c>
      <c r="C8" s="5" t="s">
        <v>41</v>
      </c>
      <c r="D8" s="3" t="s">
        <v>75</v>
      </c>
      <c r="E8" s="4" t="s">
        <v>88</v>
      </c>
      <c r="F8" s="4" t="s">
        <v>90</v>
      </c>
      <c r="G8" s="4" t="str">
        <f t="shared" si="12"/>
        <v>testap1_a2</v>
      </c>
      <c r="H8" s="4" t="s">
        <v>69</v>
      </c>
      <c r="I8" s="3" t="s">
        <v>84</v>
      </c>
      <c r="J8" s="3" t="s">
        <v>84</v>
      </c>
      <c r="K8" s="4">
        <v>1</v>
      </c>
      <c r="L8" s="4" t="s">
        <v>72</v>
      </c>
      <c r="M8" s="4">
        <v>4</v>
      </c>
      <c r="N8" s="4" t="s">
        <v>64</v>
      </c>
      <c r="O8" s="3" t="s">
        <v>84</v>
      </c>
      <c r="P8" s="3" t="s">
        <v>84</v>
      </c>
      <c r="Q8" s="3" t="s">
        <v>84</v>
      </c>
      <c r="R8" s="6">
        <v>124.47</v>
      </c>
      <c r="S8" s="6">
        <v>73.430000000000007</v>
      </c>
      <c r="T8" s="6">
        <v>127.61</v>
      </c>
      <c r="U8" s="6">
        <v>75.069999999999993</v>
      </c>
      <c r="V8" s="4">
        <v>1</v>
      </c>
      <c r="W8" s="4" t="s">
        <v>66</v>
      </c>
      <c r="X8" s="33" t="s">
        <v>50</v>
      </c>
      <c r="Y8" s="32">
        <v>45125</v>
      </c>
      <c r="AA8" s="9">
        <f t="shared" si="13"/>
        <v>0.6314904148247098</v>
      </c>
      <c r="AB8" s="9">
        <f t="shared" si="14"/>
        <v>0.75883223127229027</v>
      </c>
      <c r="AD8" s="15" t="s">
        <v>39</v>
      </c>
      <c r="AE8" s="7">
        <f t="shared" si="15"/>
        <v>7.8090200641771579E-2</v>
      </c>
      <c r="AF8" s="7">
        <f t="shared" si="16"/>
        <v>5.8266468771070487E-2</v>
      </c>
      <c r="AG8" s="7">
        <f t="shared" si="17"/>
        <v>126.03999999999999</v>
      </c>
      <c r="AH8" s="7">
        <f t="shared" si="18"/>
        <v>37.125</v>
      </c>
      <c r="AI8" s="7">
        <f t="shared" si="19"/>
        <v>0.64080323007999962</v>
      </c>
      <c r="AJ8" s="7">
        <f t="shared" si="20"/>
        <v>0.59408955034563415</v>
      </c>
      <c r="AK8" s="7">
        <f t="shared" si="21"/>
        <v>0.76557482800129284</v>
      </c>
      <c r="AL8" s="7">
        <f t="shared" si="22"/>
        <v>0.73175352954938844</v>
      </c>
    </row>
    <row r="9" spans="1:38" s="3" customFormat="1" ht="17" customHeight="1" x14ac:dyDescent="0.2">
      <c r="A9" s="5">
        <f t="shared" si="11"/>
        <v>3</v>
      </c>
      <c r="B9" s="5" t="s">
        <v>75</v>
      </c>
      <c r="C9" s="5" t="s">
        <v>41</v>
      </c>
      <c r="D9" s="3" t="s">
        <v>75</v>
      </c>
      <c r="E9" s="4" t="s">
        <v>88</v>
      </c>
      <c r="F9" s="4" t="s">
        <v>91</v>
      </c>
      <c r="G9" s="4" t="str">
        <f t="shared" si="12"/>
        <v>testap1_a3</v>
      </c>
      <c r="H9" s="4" t="s">
        <v>69</v>
      </c>
      <c r="I9" s="3" t="s">
        <v>84</v>
      </c>
      <c r="J9" s="3" t="s">
        <v>84</v>
      </c>
      <c r="K9" s="4">
        <v>1</v>
      </c>
      <c r="L9" s="4" t="s">
        <v>72</v>
      </c>
      <c r="M9" s="4">
        <v>4</v>
      </c>
      <c r="N9" s="4" t="s">
        <v>64</v>
      </c>
      <c r="O9" s="3" t="s">
        <v>84</v>
      </c>
      <c r="P9" s="3" t="s">
        <v>84</v>
      </c>
      <c r="Q9" s="3" t="s">
        <v>84</v>
      </c>
      <c r="R9" s="6">
        <v>124.05</v>
      </c>
      <c r="S9" s="6">
        <v>56.31</v>
      </c>
      <c r="T9" s="6">
        <v>126.23</v>
      </c>
      <c r="U9" s="6">
        <v>54.71</v>
      </c>
      <c r="V9" s="4">
        <v>2</v>
      </c>
      <c r="W9" s="4" t="s">
        <v>66</v>
      </c>
      <c r="X9" s="33" t="s">
        <v>50</v>
      </c>
      <c r="Y9" s="32">
        <v>45125</v>
      </c>
      <c r="AA9" s="9">
        <f t="shared" si="13"/>
        <v>0.54697025607887428</v>
      </c>
      <c r="AB9" s="9">
        <f t="shared" si="14"/>
        <v>0.6902738944077782</v>
      </c>
      <c r="AD9" s="15" t="s">
        <v>83</v>
      </c>
      <c r="AE9" s="7">
        <f t="shared" si="15"/>
        <v>9.9210347210619679E-2</v>
      </c>
      <c r="AF9" s="7">
        <f t="shared" si="16"/>
        <v>7.6630441245023731E-2</v>
      </c>
      <c r="AG9" s="7">
        <f t="shared" si="17"/>
        <v>125.14</v>
      </c>
      <c r="AH9" s="7">
        <f t="shared" si="18"/>
        <v>27.755000000000003</v>
      </c>
      <c r="AI9" s="7">
        <f t="shared" si="19"/>
        <v>0.55788280423641612</v>
      </c>
      <c r="AJ9" s="7">
        <f t="shared" si="20"/>
        <v>0.50314476147027276</v>
      </c>
      <c r="AK9" s="7">
        <f t="shared" si="21"/>
        <v>0.69861414289895041</v>
      </c>
      <c r="AL9" s="7">
        <f t="shared" si="22"/>
        <v>0.65677892054764908</v>
      </c>
    </row>
    <row r="10" spans="1:38" s="3" customFormat="1" ht="17" customHeight="1" x14ac:dyDescent="0.2">
      <c r="A10" s="5">
        <f t="shared" si="11"/>
        <v>4</v>
      </c>
      <c r="B10" s="5" t="s">
        <v>75</v>
      </c>
      <c r="C10" s="5" t="s">
        <v>41</v>
      </c>
      <c r="D10" s="3" t="s">
        <v>75</v>
      </c>
      <c r="E10" s="4" t="s">
        <v>88</v>
      </c>
      <c r="F10" s="4" t="s">
        <v>92</v>
      </c>
      <c r="G10" s="4" t="str">
        <f t="shared" si="12"/>
        <v>testap1_a4</v>
      </c>
      <c r="H10" s="4" t="s">
        <v>69</v>
      </c>
      <c r="I10" s="3" t="s">
        <v>84</v>
      </c>
      <c r="J10" s="3" t="s">
        <v>84</v>
      </c>
      <c r="K10" s="4">
        <v>1</v>
      </c>
      <c r="L10" s="4" t="s">
        <v>72</v>
      </c>
      <c r="M10" s="4">
        <v>4</v>
      </c>
      <c r="N10" s="4" t="s">
        <v>64</v>
      </c>
      <c r="O10" s="3" t="s">
        <v>84</v>
      </c>
      <c r="P10" s="3" t="s">
        <v>84</v>
      </c>
      <c r="Q10" s="3" t="s">
        <v>84</v>
      </c>
      <c r="R10" s="6">
        <v>141.1</v>
      </c>
      <c r="S10" s="6">
        <v>55</v>
      </c>
      <c r="T10" s="6">
        <v>139.63</v>
      </c>
      <c r="U10" s="6">
        <v>45.12</v>
      </c>
      <c r="V10" s="4">
        <v>2</v>
      </c>
      <c r="W10" s="4" t="s">
        <v>66</v>
      </c>
      <c r="X10" s="33" t="s">
        <v>50</v>
      </c>
      <c r="Y10" s="32">
        <v>45125</v>
      </c>
      <c r="AA10" s="9">
        <f t="shared" si="13"/>
        <v>0.51915343246806323</v>
      </c>
      <c r="AB10" s="9">
        <f t="shared" si="14"/>
        <v>0.66363884255733563</v>
      </c>
      <c r="AD10" s="15" t="s">
        <v>31</v>
      </c>
      <c r="AE10" s="7">
        <f t="shared" si="15"/>
        <v>0.10653781913454646</v>
      </c>
      <c r="AF10" s="7">
        <f t="shared" si="16"/>
        <v>8.4035516159506454E-2</v>
      </c>
      <c r="AG10" s="7">
        <f t="shared" si="17"/>
        <v>140.36500000000001</v>
      </c>
      <c r="AH10" s="7">
        <f t="shared" si="18"/>
        <v>25.03</v>
      </c>
      <c r="AI10" s="7">
        <f t="shared" si="19"/>
        <v>0.53052957173114546</v>
      </c>
      <c r="AJ10" s="7">
        <f t="shared" si="20"/>
        <v>0.47346612619062434</v>
      </c>
      <c r="AK10" s="7">
        <f t="shared" si="21"/>
        <v>0.67255180779540491</v>
      </c>
      <c r="AL10" s="7">
        <f t="shared" si="22"/>
        <v>0.62784380144059149</v>
      </c>
    </row>
    <row r="11" spans="1:38" s="3" customFormat="1" ht="17" customHeight="1" x14ac:dyDescent="0.2">
      <c r="A11" s="5">
        <f t="shared" si="11"/>
        <v>5</v>
      </c>
      <c r="B11" s="5" t="s">
        <v>75</v>
      </c>
      <c r="C11" s="5" t="s">
        <v>41</v>
      </c>
      <c r="D11" s="3" t="s">
        <v>75</v>
      </c>
      <c r="E11" s="4" t="s">
        <v>88</v>
      </c>
      <c r="F11" s="4" t="s">
        <v>93</v>
      </c>
      <c r="G11" s="4" t="str">
        <f t="shared" si="12"/>
        <v>testap1_a5</v>
      </c>
      <c r="H11" s="4" t="s">
        <v>69</v>
      </c>
      <c r="I11" s="3" t="s">
        <v>84</v>
      </c>
      <c r="J11" s="3" t="s">
        <v>84</v>
      </c>
      <c r="K11" s="4">
        <v>1</v>
      </c>
      <c r="L11" s="4" t="s">
        <v>72</v>
      </c>
      <c r="M11" s="4">
        <v>4</v>
      </c>
      <c r="N11" s="4" t="s">
        <v>64</v>
      </c>
      <c r="O11" s="3" t="s">
        <v>84</v>
      </c>
      <c r="P11" s="3" t="s">
        <v>84</v>
      </c>
      <c r="Q11" s="3" t="s">
        <v>84</v>
      </c>
      <c r="R11" s="6">
        <v>130.9</v>
      </c>
      <c r="S11" s="6">
        <v>69.319999999999993</v>
      </c>
      <c r="T11" s="6">
        <v>127.86</v>
      </c>
      <c r="U11" s="6">
        <v>62.7</v>
      </c>
      <c r="V11" s="4">
        <v>2</v>
      </c>
      <c r="W11" s="4" t="s">
        <v>66</v>
      </c>
      <c r="X11" s="33" t="s">
        <v>50</v>
      </c>
      <c r="Y11" s="32">
        <v>45125</v>
      </c>
      <c r="AA11" s="9">
        <f t="shared" si="13"/>
        <v>0.60131453129985069</v>
      </c>
      <c r="AB11" s="9">
        <f t="shared" si="14"/>
        <v>0.73354305930511476</v>
      </c>
      <c r="AD11" s="15" t="s">
        <v>16</v>
      </c>
      <c r="AE11" s="7">
        <f t="shared" si="15"/>
        <v>8.5447735320437618E-2</v>
      </c>
      <c r="AF11" s="7">
        <f t="shared" si="16"/>
        <v>6.4929827778732588E-2</v>
      </c>
      <c r="AG11" s="7">
        <f t="shared" si="17"/>
        <v>129.38</v>
      </c>
      <c r="AH11" s="7">
        <f t="shared" si="18"/>
        <v>33.004999999999995</v>
      </c>
      <c r="AI11" s="7">
        <f t="shared" si="19"/>
        <v>0.61122904985690374</v>
      </c>
      <c r="AJ11" s="7">
        <f t="shared" si="20"/>
        <v>0.56149718769722812</v>
      </c>
      <c r="AK11" s="7">
        <f t="shared" si="21"/>
        <v>0.74089458434771194</v>
      </c>
      <c r="AL11" s="7">
        <f t="shared" si="22"/>
        <v>0.70401886234689293</v>
      </c>
    </row>
    <row r="12" spans="1:38" s="3" customFormat="1" ht="17" customHeight="1" x14ac:dyDescent="0.2">
      <c r="A12" s="5">
        <f t="shared" si="11"/>
        <v>6</v>
      </c>
      <c r="B12" s="5" t="s">
        <v>75</v>
      </c>
      <c r="C12" s="5" t="s">
        <v>41</v>
      </c>
      <c r="D12" s="3" t="s">
        <v>75</v>
      </c>
      <c r="E12" s="4" t="s">
        <v>94</v>
      </c>
      <c r="F12" s="4" t="s">
        <v>85</v>
      </c>
      <c r="G12" s="4" t="str">
        <f t="shared" ref="G12:G28" si="23">CONCATENATE(E12,"_",F12)</f>
        <v>testzirc1_z1</v>
      </c>
      <c r="H12" s="4" t="s">
        <v>70</v>
      </c>
      <c r="I12" s="3" t="s">
        <v>84</v>
      </c>
      <c r="J12" s="3" t="s">
        <v>84</v>
      </c>
      <c r="K12" s="4">
        <v>1</v>
      </c>
      <c r="L12" s="4" t="s">
        <v>72</v>
      </c>
      <c r="M12" s="4">
        <v>3</v>
      </c>
      <c r="N12" s="4" t="s">
        <v>64</v>
      </c>
      <c r="O12" s="3" t="s">
        <v>84</v>
      </c>
      <c r="P12" s="3" t="s">
        <v>84</v>
      </c>
      <c r="Q12" s="3" t="s">
        <v>84</v>
      </c>
      <c r="R12" s="6">
        <v>211.24</v>
      </c>
      <c r="S12" s="6">
        <v>92.74</v>
      </c>
      <c r="T12" s="6">
        <v>215.18</v>
      </c>
      <c r="U12" s="6">
        <v>96.94</v>
      </c>
      <c r="V12" s="4">
        <v>2</v>
      </c>
      <c r="W12" s="4" t="s">
        <v>67</v>
      </c>
      <c r="X12" s="33" t="s">
        <v>50</v>
      </c>
      <c r="Y12" s="32">
        <v>45125</v>
      </c>
      <c r="AA12" s="9">
        <f t="shared" ref="AA12:AA14" si="24">(1/1.249)*AI12+(1-(1/1.249))*AJ12</f>
        <v>0.71745561535557434</v>
      </c>
      <c r="AB12" s="9">
        <f t="shared" ref="AB12:AB14" si="25">(1/1.249)*AK12+(1-(1/1.249))*AL12</f>
        <v>0.81169725790771396</v>
      </c>
      <c r="AD12" s="15"/>
      <c r="AE12" s="7">
        <f t="shared" ref="AE12:AE29" si="26">(2.31*AG12+2*AH12)/(AH12*AG12)</f>
        <v>5.8094046000985396E-2</v>
      </c>
      <c r="AF12" s="7">
        <f t="shared" ref="AF12:AF29" si="27">(4*AG12+4+AH12)/(AG12*2*AH12)</f>
        <v>4.4719218439450904E-2</v>
      </c>
      <c r="AG12" s="7">
        <f t="shared" ref="AG12:AG14" si="28">(R12+T12)/2</f>
        <v>213.21</v>
      </c>
      <c r="AH12" s="7">
        <f t="shared" ref="AH12:AH14" si="29">(S12+U12)/4</f>
        <v>47.42</v>
      </c>
      <c r="AI12" s="7">
        <f t="shared" ref="AI12:AI29" si="30">1+(-5.13)*AE12+(6.79)*AE12^2</f>
        <v>0.72489323846233666</v>
      </c>
      <c r="AJ12" s="7">
        <f t="shared" ref="AJ12:AJ29" si="31">1+(-5.9)*AE12+8.99*AE12^2</f>
        <v>0.68758564303925995</v>
      </c>
      <c r="AK12" s="7">
        <f t="shared" ref="AK12:AK29" si="32">1+(-4.31)*AF12+4.92*AF12^2</f>
        <v>0.8170992263353164</v>
      </c>
      <c r="AL12" s="7">
        <f t="shared" ref="AL12:AL29" si="33">1+(-5)*AF12+6.8*AF12^2</f>
        <v>0.79000260558802571</v>
      </c>
    </row>
    <row r="13" spans="1:38" s="3" customFormat="1" ht="17" customHeight="1" x14ac:dyDescent="0.2">
      <c r="A13" s="5">
        <f t="shared" si="11"/>
        <v>7</v>
      </c>
      <c r="B13" s="5" t="s">
        <v>75</v>
      </c>
      <c r="C13" s="5" t="s">
        <v>41</v>
      </c>
      <c r="D13" s="3" t="s">
        <v>75</v>
      </c>
      <c r="E13" s="4" t="s">
        <v>94</v>
      </c>
      <c r="F13" s="4" t="s">
        <v>86</v>
      </c>
      <c r="G13" s="4" t="str">
        <f t="shared" si="23"/>
        <v>testzirc1_z2</v>
      </c>
      <c r="H13" s="4" t="s">
        <v>70</v>
      </c>
      <c r="I13" s="3" t="s">
        <v>84</v>
      </c>
      <c r="J13" s="3" t="s">
        <v>84</v>
      </c>
      <c r="K13" s="4">
        <v>1</v>
      </c>
      <c r="L13" s="4" t="s">
        <v>72</v>
      </c>
      <c r="M13" s="4">
        <v>3</v>
      </c>
      <c r="N13" s="4" t="s">
        <v>64</v>
      </c>
      <c r="O13" s="3" t="s">
        <v>84</v>
      </c>
      <c r="P13" s="3" t="s">
        <v>84</v>
      </c>
      <c r="Q13" s="3" t="s">
        <v>84</v>
      </c>
      <c r="R13" s="6">
        <v>225.34</v>
      </c>
      <c r="S13" s="6">
        <v>79.86</v>
      </c>
      <c r="T13" s="6">
        <v>224.49</v>
      </c>
      <c r="U13" s="6">
        <v>52.49</v>
      </c>
      <c r="V13" s="4">
        <v>2</v>
      </c>
      <c r="W13" s="4" t="s">
        <v>67</v>
      </c>
      <c r="X13" s="33" t="s">
        <v>50</v>
      </c>
      <c r="Y13" s="32">
        <v>45125</v>
      </c>
      <c r="AA13" s="9">
        <f t="shared" si="24"/>
        <v>0.62893009448846682</v>
      </c>
      <c r="AB13" s="9">
        <f t="shared" si="25"/>
        <v>0.7410548092009247</v>
      </c>
      <c r="AD13" s="15"/>
      <c r="AE13" s="7">
        <f t="shared" si="26"/>
        <v>7.8707132957864009E-2</v>
      </c>
      <c r="AF13" s="7">
        <f t="shared" si="27"/>
        <v>6.2937599202674069E-2</v>
      </c>
      <c r="AG13" s="7">
        <f t="shared" si="28"/>
        <v>224.91500000000002</v>
      </c>
      <c r="AH13" s="7">
        <f t="shared" si="29"/>
        <v>33.087499999999999</v>
      </c>
      <c r="AI13" s="7">
        <f t="shared" si="30"/>
        <v>0.63829518669181196</v>
      </c>
      <c r="AJ13" s="7">
        <f t="shared" si="31"/>
        <v>0.59131928242683984</v>
      </c>
      <c r="AK13" s="7">
        <f t="shared" si="32"/>
        <v>0.74822776309198524</v>
      </c>
      <c r="AL13" s="7">
        <f t="shared" si="33"/>
        <v>0.71224776546172541</v>
      </c>
    </row>
    <row r="14" spans="1:38" s="3" customFormat="1" ht="17" customHeight="1" x14ac:dyDescent="0.2">
      <c r="A14" s="5">
        <f t="shared" si="11"/>
        <v>8</v>
      </c>
      <c r="B14" s="5" t="s">
        <v>75</v>
      </c>
      <c r="C14" s="5" t="s">
        <v>41</v>
      </c>
      <c r="D14" s="3" t="s">
        <v>75</v>
      </c>
      <c r="E14" s="4" t="s">
        <v>94</v>
      </c>
      <c r="F14" s="4" t="s">
        <v>87</v>
      </c>
      <c r="G14" s="4" t="str">
        <f t="shared" si="23"/>
        <v>testzirc1_z3</v>
      </c>
      <c r="H14" s="4" t="s">
        <v>70</v>
      </c>
      <c r="I14" s="3" t="s">
        <v>84</v>
      </c>
      <c r="J14" s="3" t="s">
        <v>84</v>
      </c>
      <c r="K14" s="4">
        <v>1</v>
      </c>
      <c r="L14" s="4" t="s">
        <v>72</v>
      </c>
      <c r="M14" s="4">
        <v>3</v>
      </c>
      <c r="N14" s="4" t="s">
        <v>64</v>
      </c>
      <c r="O14" s="3" t="s">
        <v>84</v>
      </c>
      <c r="P14" s="3" t="s">
        <v>84</v>
      </c>
      <c r="Q14" s="3" t="s">
        <v>84</v>
      </c>
      <c r="R14" s="6">
        <v>183.99</v>
      </c>
      <c r="S14" s="6">
        <v>83.88</v>
      </c>
      <c r="T14" s="6">
        <v>183.64</v>
      </c>
      <c r="U14" s="6">
        <v>60.27</v>
      </c>
      <c r="V14" s="4">
        <v>2</v>
      </c>
      <c r="W14" s="4" t="s">
        <v>67</v>
      </c>
      <c r="X14" s="33" t="s">
        <v>50</v>
      </c>
      <c r="Y14" s="32">
        <v>45125</v>
      </c>
      <c r="AA14" s="9">
        <f t="shared" si="24"/>
        <v>0.64448011735611299</v>
      </c>
      <c r="AB14" s="9">
        <f t="shared" si="25"/>
        <v>0.75786220109482683</v>
      </c>
      <c r="AD14" s="15"/>
      <c r="AE14" s="7">
        <f t="shared" si="26"/>
        <v>7.4980400797152652E-2</v>
      </c>
      <c r="AF14" s="7">
        <f t="shared" si="27"/>
        <v>5.8519793362116476E-2</v>
      </c>
      <c r="AG14" s="7">
        <f t="shared" si="28"/>
        <v>183.815</v>
      </c>
      <c r="AH14" s="7">
        <f t="shared" si="29"/>
        <v>36.037500000000001</v>
      </c>
      <c r="AI14" s="7">
        <f t="shared" si="30"/>
        <v>0.65352433473074101</v>
      </c>
      <c r="AJ14" s="7">
        <f t="shared" si="31"/>
        <v>0.6081579592250772</v>
      </c>
      <c r="AK14" s="7">
        <f t="shared" si="32"/>
        <v>0.76462855638779048</v>
      </c>
      <c r="AL14" s="7">
        <f t="shared" si="33"/>
        <v>0.73068808345240233</v>
      </c>
    </row>
    <row r="15" spans="1:38" s="3" customFormat="1" ht="17" customHeight="1" x14ac:dyDescent="0.2">
      <c r="A15" s="5"/>
      <c r="B15" s="5"/>
      <c r="C15" s="5"/>
      <c r="E15" s="4"/>
      <c r="F15" s="4"/>
      <c r="G15" s="4"/>
      <c r="H15" s="4"/>
      <c r="K15" s="4"/>
      <c r="L15" s="4"/>
      <c r="M15" s="4"/>
      <c r="N15" s="4"/>
      <c r="R15" s="6"/>
      <c r="S15" s="6"/>
      <c r="T15" s="6"/>
      <c r="U15" s="6"/>
      <c r="V15" s="4"/>
      <c r="W15" s="4"/>
      <c r="X15" s="4"/>
      <c r="AA15" s="9"/>
      <c r="AB15" s="9"/>
      <c r="AE15" s="7"/>
      <c r="AF15" s="7"/>
      <c r="AG15" s="7"/>
      <c r="AH15" s="7"/>
      <c r="AI15" s="7"/>
      <c r="AJ15" s="7"/>
      <c r="AK15" s="7"/>
      <c r="AL15" s="7"/>
    </row>
    <row r="16" spans="1:38" s="3" customFormat="1" ht="17" customHeight="1" x14ac:dyDescent="0.2">
      <c r="A16" s="5"/>
      <c r="B16" s="5"/>
      <c r="C16" s="5"/>
      <c r="E16" s="4"/>
      <c r="F16" s="4"/>
      <c r="G16" s="4"/>
      <c r="H16" s="4"/>
      <c r="K16" s="4"/>
      <c r="L16" s="4"/>
      <c r="M16" s="4"/>
      <c r="N16" s="4"/>
      <c r="R16" s="6"/>
      <c r="S16" s="6"/>
      <c r="T16" s="6"/>
      <c r="U16" s="6"/>
      <c r="V16" s="4"/>
      <c r="W16" s="4"/>
      <c r="X16" s="4"/>
      <c r="AA16" s="9"/>
      <c r="AB16" s="9"/>
      <c r="AE16" s="7"/>
      <c r="AF16" s="7"/>
      <c r="AG16" s="7"/>
      <c r="AH16" s="7"/>
      <c r="AI16" s="7"/>
      <c r="AJ16" s="7"/>
      <c r="AK16" s="7"/>
      <c r="AL16" s="7"/>
    </row>
    <row r="17" spans="1:38" s="3" customFormat="1" ht="17" customHeight="1" x14ac:dyDescent="0.2">
      <c r="A17" s="5"/>
      <c r="B17" s="5"/>
      <c r="C17" s="5"/>
      <c r="E17" s="4"/>
      <c r="F17" s="4"/>
      <c r="G17" s="4"/>
      <c r="H17" s="4"/>
      <c r="K17" s="4"/>
      <c r="L17" s="4"/>
      <c r="M17" s="4"/>
      <c r="N17" s="4"/>
      <c r="R17" s="6"/>
      <c r="S17" s="6"/>
      <c r="T17" s="6"/>
      <c r="U17" s="6"/>
      <c r="V17" s="4"/>
      <c r="W17" s="4"/>
      <c r="X17" s="4"/>
      <c r="AA17" s="9"/>
      <c r="AB17" s="9"/>
      <c r="AE17" s="7"/>
      <c r="AF17" s="7"/>
      <c r="AG17" s="7"/>
      <c r="AH17" s="7"/>
      <c r="AI17" s="7"/>
      <c r="AJ17" s="7"/>
      <c r="AK17" s="7"/>
      <c r="AL17" s="7"/>
    </row>
    <row r="18" spans="1:38" s="3" customFormat="1" ht="17" customHeight="1" x14ac:dyDescent="0.2">
      <c r="A18" s="5"/>
      <c r="B18" s="5"/>
      <c r="C18" s="5"/>
      <c r="E18" s="4"/>
      <c r="F18" s="4"/>
      <c r="G18" s="4"/>
      <c r="H18" s="4"/>
      <c r="K18" s="4"/>
      <c r="L18" s="4"/>
      <c r="M18" s="4"/>
      <c r="N18" s="4"/>
      <c r="R18" s="6"/>
      <c r="S18" s="6"/>
      <c r="T18" s="6"/>
      <c r="U18" s="6"/>
      <c r="V18" s="4"/>
      <c r="W18" s="4"/>
      <c r="X18" s="4"/>
      <c r="AA18" s="9"/>
      <c r="AB18" s="9"/>
      <c r="AE18" s="7"/>
      <c r="AF18" s="7"/>
      <c r="AG18" s="7"/>
      <c r="AH18" s="7"/>
      <c r="AI18" s="7"/>
      <c r="AJ18" s="7"/>
      <c r="AK18" s="7"/>
      <c r="AL18" s="7"/>
    </row>
    <row r="19" spans="1:38" s="3" customFormat="1" ht="17" customHeight="1" x14ac:dyDescent="0.2">
      <c r="A19" s="5"/>
      <c r="B19" s="5"/>
      <c r="C19" s="5"/>
      <c r="E19" s="4"/>
      <c r="F19" s="4"/>
      <c r="G19" s="4"/>
      <c r="H19" s="4"/>
      <c r="K19" s="4"/>
      <c r="L19" s="4"/>
      <c r="M19" s="4"/>
      <c r="N19" s="4"/>
      <c r="R19" s="6"/>
      <c r="S19" s="6"/>
      <c r="T19" s="6"/>
      <c r="U19" s="6"/>
      <c r="V19" s="4"/>
      <c r="W19" s="4"/>
      <c r="X19" s="4"/>
      <c r="AA19" s="9"/>
      <c r="AB19" s="9"/>
      <c r="AE19" s="7"/>
      <c r="AF19" s="7"/>
      <c r="AG19" s="7"/>
      <c r="AH19" s="7"/>
      <c r="AI19" s="7"/>
      <c r="AJ19" s="7"/>
      <c r="AK19" s="7"/>
      <c r="AL19" s="7"/>
    </row>
    <row r="20" spans="1:38" s="3" customFormat="1" ht="17" customHeight="1" x14ac:dyDescent="0.2">
      <c r="A20" s="5"/>
      <c r="B20" s="5"/>
      <c r="C20" s="5"/>
      <c r="E20" s="4"/>
      <c r="F20" s="4"/>
      <c r="G20" s="4"/>
      <c r="H20" s="4"/>
      <c r="K20" s="4"/>
      <c r="L20" s="4"/>
      <c r="M20" s="4"/>
      <c r="N20" s="4"/>
      <c r="R20" s="6"/>
      <c r="S20" s="6"/>
      <c r="T20" s="6"/>
      <c r="U20" s="6"/>
      <c r="V20" s="4"/>
      <c r="W20" s="4"/>
      <c r="X20" s="4"/>
      <c r="AA20" s="9"/>
      <c r="AB20" s="9"/>
      <c r="AE20" s="7"/>
      <c r="AF20" s="7"/>
      <c r="AG20" s="7"/>
      <c r="AH20" s="7"/>
      <c r="AI20" s="7"/>
      <c r="AJ20" s="7"/>
      <c r="AK20" s="7"/>
      <c r="AL20" s="7"/>
    </row>
    <row r="21" spans="1:38" s="3" customFormat="1" ht="17" customHeight="1" x14ac:dyDescent="0.2">
      <c r="A21" s="5"/>
      <c r="B21" s="5"/>
      <c r="C21" s="5"/>
      <c r="E21" s="4"/>
      <c r="F21" s="4"/>
      <c r="G21" s="4"/>
      <c r="H21" s="4"/>
      <c r="K21" s="4"/>
      <c r="L21" s="4"/>
      <c r="M21" s="4"/>
      <c r="N21" s="4"/>
      <c r="R21" s="6"/>
      <c r="S21" s="6"/>
      <c r="T21" s="6"/>
      <c r="U21" s="6"/>
      <c r="V21" s="4"/>
      <c r="W21" s="4"/>
      <c r="X21" s="4"/>
      <c r="AA21" s="9"/>
      <c r="AB21" s="9"/>
      <c r="AE21" s="7"/>
      <c r="AF21" s="7"/>
      <c r="AG21" s="7"/>
      <c r="AH21" s="7"/>
      <c r="AI21" s="7"/>
      <c r="AJ21" s="7"/>
      <c r="AK21" s="7"/>
      <c r="AL21" s="7"/>
    </row>
    <row r="22" spans="1:38" s="3" customFormat="1" ht="17" customHeight="1" x14ac:dyDescent="0.2">
      <c r="A22" s="5"/>
      <c r="B22" s="5"/>
      <c r="C22" s="5"/>
      <c r="E22" s="4"/>
      <c r="F22" s="4"/>
      <c r="G22" s="4"/>
      <c r="H22" s="4"/>
      <c r="K22" s="4"/>
      <c r="L22" s="4"/>
      <c r="M22" s="4"/>
      <c r="N22" s="4"/>
      <c r="R22" s="6"/>
      <c r="S22" s="6"/>
      <c r="T22" s="6"/>
      <c r="U22" s="6"/>
      <c r="V22" s="4"/>
      <c r="W22" s="4"/>
      <c r="X22" s="4"/>
      <c r="AA22" s="9"/>
      <c r="AB22" s="9"/>
      <c r="AE22" s="7"/>
      <c r="AF22" s="7"/>
      <c r="AG22" s="7"/>
      <c r="AH22" s="7"/>
      <c r="AI22" s="7"/>
      <c r="AJ22" s="7"/>
      <c r="AK22" s="7"/>
      <c r="AL22" s="7"/>
    </row>
    <row r="23" spans="1:38" s="3" customFormat="1" ht="17" customHeight="1" x14ac:dyDescent="0.2">
      <c r="A23" s="5"/>
      <c r="B23" s="5"/>
      <c r="C23" s="5"/>
      <c r="E23" s="4"/>
      <c r="F23" s="4"/>
      <c r="G23" s="4"/>
      <c r="H23" s="4"/>
      <c r="K23" s="4"/>
      <c r="L23" s="4"/>
      <c r="M23" s="4"/>
      <c r="N23" s="4"/>
      <c r="R23" s="6"/>
      <c r="S23" s="6"/>
      <c r="T23" s="6"/>
      <c r="U23" s="6"/>
      <c r="V23" s="4"/>
      <c r="W23" s="4"/>
      <c r="X23" s="4"/>
      <c r="AA23" s="9"/>
      <c r="AB23" s="9"/>
      <c r="AE23" s="7"/>
      <c r="AF23" s="7"/>
      <c r="AG23" s="7"/>
      <c r="AH23" s="7"/>
      <c r="AI23" s="7"/>
      <c r="AJ23" s="7"/>
      <c r="AK23" s="7"/>
      <c r="AL23" s="7"/>
    </row>
    <row r="24" spans="1:38" s="3" customFormat="1" ht="17" customHeight="1" x14ac:dyDescent="0.2">
      <c r="A24" s="5"/>
      <c r="B24" s="5"/>
      <c r="C24" s="5"/>
      <c r="E24" s="4"/>
      <c r="F24" s="4"/>
      <c r="G24" s="4"/>
      <c r="H24" s="4"/>
      <c r="K24" s="4"/>
      <c r="L24" s="4"/>
      <c r="M24" s="4"/>
      <c r="N24" s="4"/>
      <c r="R24" s="6"/>
      <c r="S24" s="6"/>
      <c r="T24" s="6"/>
      <c r="U24" s="6"/>
      <c r="V24" s="4"/>
      <c r="W24" s="4"/>
      <c r="X24" s="4"/>
      <c r="AA24" s="9"/>
      <c r="AB24" s="9"/>
      <c r="AE24" s="7"/>
      <c r="AF24" s="7"/>
      <c r="AG24" s="7"/>
      <c r="AH24" s="7"/>
      <c r="AI24" s="7"/>
      <c r="AJ24" s="7"/>
      <c r="AK24" s="7"/>
      <c r="AL24" s="7"/>
    </row>
    <row r="25" spans="1:38" s="3" customFormat="1" ht="17" customHeight="1" x14ac:dyDescent="0.2">
      <c r="A25" s="5"/>
      <c r="B25" s="5"/>
      <c r="C25" s="5"/>
      <c r="E25" s="4"/>
      <c r="F25" s="4"/>
      <c r="G25" s="4"/>
      <c r="H25" s="4"/>
      <c r="K25" s="4"/>
      <c r="L25" s="4"/>
      <c r="M25" s="4"/>
      <c r="N25" s="4"/>
      <c r="R25" s="6"/>
      <c r="S25" s="6"/>
      <c r="T25" s="6"/>
      <c r="U25" s="6"/>
      <c r="V25" s="4"/>
      <c r="W25" s="4"/>
      <c r="X25" s="4"/>
      <c r="AA25" s="9"/>
      <c r="AB25" s="9"/>
      <c r="AE25" s="7"/>
      <c r="AF25" s="7"/>
      <c r="AG25" s="7"/>
      <c r="AH25" s="7"/>
      <c r="AI25" s="7"/>
      <c r="AJ25" s="7"/>
      <c r="AK25" s="7"/>
      <c r="AL25" s="7"/>
    </row>
    <row r="26" spans="1:38" s="3" customFormat="1" ht="17" customHeight="1" x14ac:dyDescent="0.2">
      <c r="A26" s="5"/>
      <c r="B26" s="5"/>
      <c r="C26" s="5"/>
      <c r="E26" s="4"/>
      <c r="F26" s="4"/>
      <c r="G26" s="4"/>
      <c r="H26" s="4"/>
      <c r="K26" s="4"/>
      <c r="L26" s="4"/>
      <c r="M26" s="4"/>
      <c r="N26" s="4"/>
      <c r="R26" s="6"/>
      <c r="S26" s="6"/>
      <c r="T26" s="6"/>
      <c r="U26" s="6"/>
      <c r="V26" s="4"/>
      <c r="W26" s="4"/>
      <c r="X26" s="4"/>
      <c r="AA26" s="9"/>
      <c r="AB26" s="9"/>
      <c r="AE26" s="7"/>
      <c r="AF26" s="7"/>
      <c r="AG26" s="7"/>
      <c r="AH26" s="7"/>
      <c r="AI26" s="7"/>
      <c r="AJ26" s="7"/>
      <c r="AK26" s="7"/>
      <c r="AL26" s="7"/>
    </row>
    <row r="27" spans="1:38" s="3" customFormat="1" ht="17" customHeight="1" x14ac:dyDescent="0.2">
      <c r="A27" s="5"/>
      <c r="B27" s="5"/>
      <c r="C27" s="5"/>
      <c r="E27" s="4"/>
      <c r="F27" s="4"/>
      <c r="G27" s="4"/>
      <c r="H27" s="4"/>
      <c r="K27" s="4"/>
      <c r="L27" s="4"/>
      <c r="M27" s="4"/>
      <c r="N27" s="4"/>
      <c r="R27" s="6"/>
      <c r="S27" s="6"/>
      <c r="T27" s="6"/>
      <c r="U27" s="6"/>
      <c r="V27" s="4"/>
      <c r="W27" s="4"/>
      <c r="X27" s="4"/>
      <c r="AA27" s="9"/>
      <c r="AB27" s="9"/>
      <c r="AE27" s="7"/>
      <c r="AF27" s="7"/>
      <c r="AG27" s="7"/>
      <c r="AH27" s="7"/>
      <c r="AI27" s="7"/>
      <c r="AJ27" s="7"/>
      <c r="AK27" s="7"/>
      <c r="AL27" s="7"/>
    </row>
    <row r="28" spans="1:38" s="3" customFormat="1" ht="17" customHeight="1" x14ac:dyDescent="0.2">
      <c r="A28" s="5"/>
      <c r="B28" s="5"/>
      <c r="C28" s="5"/>
      <c r="E28" s="4"/>
      <c r="F28" s="4"/>
      <c r="G28" s="4"/>
      <c r="H28" s="4"/>
      <c r="K28" s="4"/>
      <c r="L28" s="4"/>
      <c r="M28" s="4"/>
      <c r="N28" s="4"/>
      <c r="R28" s="6"/>
      <c r="S28" s="6"/>
      <c r="T28" s="6"/>
      <c r="U28" s="6"/>
      <c r="V28" s="4"/>
      <c r="W28" s="4"/>
      <c r="X28" s="4"/>
      <c r="AA28" s="9"/>
      <c r="AB28" s="9"/>
      <c r="AE28" s="7"/>
      <c r="AF28" s="7"/>
      <c r="AG28" s="7"/>
      <c r="AH28" s="7"/>
      <c r="AI28" s="7"/>
      <c r="AJ28" s="7"/>
      <c r="AK28" s="7"/>
      <c r="AL28" s="7"/>
    </row>
    <row r="29" spans="1:38" s="3" customFormat="1" ht="17" customHeight="1" x14ac:dyDescent="0.2">
      <c r="A29" s="5"/>
      <c r="B29" s="5"/>
      <c r="C29" s="5"/>
      <c r="E29" s="4"/>
      <c r="F29" s="4"/>
      <c r="G29" s="4"/>
      <c r="H29" s="4"/>
      <c r="K29" s="4"/>
      <c r="L29" s="4"/>
      <c r="M29" s="4"/>
      <c r="N29" s="4"/>
      <c r="R29" s="6"/>
      <c r="S29" s="6"/>
      <c r="T29" s="6"/>
      <c r="U29" s="6"/>
      <c r="V29" s="4"/>
      <c r="W29" s="4"/>
      <c r="X29" s="4"/>
      <c r="AA29" s="9"/>
      <c r="AB29" s="9"/>
      <c r="AE29" s="7"/>
      <c r="AF29" s="7"/>
      <c r="AG29" s="7"/>
      <c r="AH29" s="7"/>
      <c r="AI29" s="7"/>
      <c r="AJ29" s="7"/>
      <c r="AK29" s="7"/>
      <c r="AL29" s="7"/>
    </row>
    <row r="30" spans="1:38" s="3" customFormat="1" ht="17" customHeight="1" x14ac:dyDescent="0.2">
      <c r="A30" s="5"/>
      <c r="B30" s="5"/>
      <c r="C30" s="5"/>
      <c r="E30" s="4"/>
      <c r="F30" s="4"/>
      <c r="G30" s="4"/>
      <c r="H30" s="4"/>
      <c r="K30" s="4"/>
      <c r="L30" s="4"/>
      <c r="M30" s="4"/>
      <c r="N30" s="4"/>
      <c r="R30" s="6"/>
      <c r="S30" s="6"/>
      <c r="T30" s="6"/>
      <c r="U30" s="6"/>
      <c r="V30" s="4"/>
      <c r="W30" s="4"/>
      <c r="X30" s="4"/>
      <c r="AA30" s="9"/>
      <c r="AB30" s="9"/>
      <c r="AE30" s="7"/>
      <c r="AF30" s="7"/>
      <c r="AG30" s="7"/>
      <c r="AH30" s="7"/>
      <c r="AI30" s="7"/>
      <c r="AJ30" s="7"/>
      <c r="AK30" s="7"/>
      <c r="AL30" s="7"/>
    </row>
    <row r="31" spans="1:38" s="3" customFormat="1" ht="17" customHeight="1" x14ac:dyDescent="0.2">
      <c r="A31" s="5"/>
      <c r="B31" s="5"/>
      <c r="C31" s="5"/>
      <c r="E31" s="4"/>
      <c r="F31" s="4"/>
      <c r="G31" s="4"/>
      <c r="H31" s="4"/>
      <c r="K31" s="4"/>
      <c r="L31" s="4"/>
      <c r="M31" s="4"/>
      <c r="N31" s="4"/>
      <c r="R31" s="6"/>
      <c r="S31" s="6"/>
      <c r="T31" s="6"/>
      <c r="U31" s="6"/>
      <c r="V31" s="4"/>
      <c r="W31" s="4"/>
      <c r="X31" s="4"/>
      <c r="AA31" s="9"/>
      <c r="AB31" s="9"/>
      <c r="AE31" s="7"/>
      <c r="AF31" s="7"/>
      <c r="AG31" s="7"/>
      <c r="AH31" s="7"/>
      <c r="AI31" s="7"/>
      <c r="AJ31" s="7"/>
      <c r="AK31" s="7"/>
      <c r="AL31" s="7"/>
    </row>
    <row r="32" spans="1:38" s="3" customFormat="1" ht="17" customHeight="1" x14ac:dyDescent="0.2">
      <c r="A32" s="5"/>
      <c r="B32" s="5"/>
      <c r="C32" s="5"/>
      <c r="E32" s="4"/>
      <c r="F32" s="4"/>
      <c r="G32" s="4"/>
      <c r="H32" s="4"/>
      <c r="K32" s="4"/>
      <c r="L32" s="4"/>
      <c r="M32" s="4"/>
      <c r="N32" s="4"/>
      <c r="R32" s="6"/>
      <c r="S32" s="6"/>
      <c r="T32" s="6"/>
      <c r="U32" s="6"/>
      <c r="V32" s="4"/>
      <c r="W32" s="4"/>
      <c r="X32" s="4"/>
      <c r="AA32" s="9"/>
      <c r="AB32" s="9"/>
      <c r="AE32" s="7"/>
      <c r="AF32" s="7"/>
      <c r="AG32" s="7"/>
      <c r="AH32" s="7"/>
      <c r="AI32" s="7"/>
      <c r="AJ32" s="7"/>
      <c r="AK32" s="7"/>
      <c r="AL32" s="7"/>
    </row>
    <row r="33" spans="1:38" s="3" customFormat="1" ht="17" customHeight="1" x14ac:dyDescent="0.2">
      <c r="A33" s="5"/>
      <c r="B33" s="5"/>
      <c r="C33" s="5"/>
      <c r="E33" s="4"/>
      <c r="F33" s="4"/>
      <c r="G33" s="4"/>
      <c r="H33" s="4"/>
      <c r="K33" s="4"/>
      <c r="L33" s="4"/>
      <c r="M33" s="4"/>
      <c r="N33" s="4"/>
      <c r="R33" s="6"/>
      <c r="S33" s="6"/>
      <c r="T33" s="6"/>
      <c r="U33" s="6"/>
      <c r="V33" s="4"/>
      <c r="W33" s="4"/>
      <c r="X33" s="4"/>
      <c r="AA33" s="9"/>
      <c r="AB33" s="9"/>
      <c r="AE33" s="7"/>
      <c r="AF33" s="7"/>
      <c r="AG33" s="7"/>
      <c r="AH33" s="7"/>
      <c r="AI33" s="7"/>
      <c r="AJ33" s="7"/>
      <c r="AK33" s="7"/>
      <c r="AL33" s="7"/>
    </row>
    <row r="34" spans="1:38" s="3" customFormat="1" ht="17" customHeight="1" x14ac:dyDescent="0.2">
      <c r="A34" s="5"/>
      <c r="B34" s="5"/>
      <c r="C34" s="5"/>
      <c r="E34" s="4"/>
      <c r="F34" s="4"/>
      <c r="G34" s="4"/>
      <c r="H34" s="4"/>
      <c r="K34" s="4"/>
      <c r="L34" s="4"/>
      <c r="M34" s="4"/>
      <c r="N34" s="4"/>
      <c r="R34" s="6"/>
      <c r="S34" s="6"/>
      <c r="T34" s="6"/>
      <c r="U34" s="6"/>
      <c r="V34" s="4"/>
      <c r="W34" s="4"/>
      <c r="X34" s="4"/>
      <c r="AA34" s="9"/>
      <c r="AB34" s="9"/>
      <c r="AE34" s="7"/>
      <c r="AF34" s="7"/>
      <c r="AG34" s="7"/>
      <c r="AH34" s="7"/>
      <c r="AI34" s="7"/>
      <c r="AJ34" s="7"/>
      <c r="AK34" s="7"/>
      <c r="AL34" s="7"/>
    </row>
    <row r="35" spans="1:38" s="3" customFormat="1" ht="17" customHeight="1" x14ac:dyDescent="0.2">
      <c r="A35" s="5"/>
      <c r="B35" s="5"/>
      <c r="C35" s="5"/>
      <c r="E35" s="4"/>
      <c r="F35" s="4"/>
      <c r="G35" s="4"/>
      <c r="H35" s="4"/>
      <c r="K35" s="4"/>
      <c r="L35" s="4"/>
      <c r="M35" s="4"/>
      <c r="N35" s="4"/>
      <c r="R35" s="6"/>
      <c r="S35" s="6"/>
      <c r="T35" s="6"/>
      <c r="U35" s="6"/>
      <c r="V35" s="4"/>
      <c r="W35" s="4"/>
      <c r="X35" s="4"/>
      <c r="AA35" s="9"/>
      <c r="AB35" s="9"/>
      <c r="AE35" s="7"/>
      <c r="AF35" s="7"/>
      <c r="AG35" s="7"/>
      <c r="AH35" s="7"/>
      <c r="AI35" s="7"/>
      <c r="AJ35" s="7"/>
      <c r="AK35" s="7"/>
      <c r="AL35" s="7"/>
    </row>
    <row r="36" spans="1:38" s="3" customFormat="1" ht="17" customHeight="1" x14ac:dyDescent="0.2">
      <c r="A36" s="5"/>
      <c r="B36" s="5"/>
      <c r="C36" s="5"/>
      <c r="E36" s="4"/>
      <c r="F36" s="4"/>
      <c r="G36" s="4"/>
      <c r="H36" s="4"/>
      <c r="K36" s="4"/>
      <c r="L36" s="4"/>
      <c r="M36" s="4"/>
      <c r="N36" s="4"/>
      <c r="R36" s="6"/>
      <c r="S36" s="6"/>
      <c r="T36" s="6"/>
      <c r="U36" s="6"/>
      <c r="V36" s="4"/>
      <c r="W36" s="4"/>
      <c r="X36" s="4"/>
      <c r="AA36" s="9"/>
      <c r="AB36" s="9"/>
      <c r="AE36" s="7"/>
      <c r="AF36" s="7"/>
      <c r="AG36" s="7"/>
      <c r="AH36" s="7"/>
      <c r="AI36" s="7"/>
      <c r="AJ36" s="7"/>
      <c r="AK36" s="7"/>
      <c r="AL36" s="7"/>
    </row>
    <row r="37" spans="1:38" s="3" customFormat="1" ht="17" customHeight="1" x14ac:dyDescent="0.2">
      <c r="A37" s="5"/>
      <c r="B37" s="5"/>
      <c r="C37" s="5"/>
      <c r="E37" s="4"/>
      <c r="F37" s="4"/>
      <c r="G37" s="4"/>
      <c r="H37" s="4"/>
      <c r="K37" s="4"/>
      <c r="L37" s="4"/>
      <c r="M37" s="4"/>
      <c r="N37" s="4"/>
      <c r="R37" s="6"/>
      <c r="S37" s="6"/>
      <c r="T37" s="6"/>
      <c r="U37" s="6"/>
      <c r="V37" s="4"/>
      <c r="W37" s="4"/>
      <c r="X37" s="4"/>
      <c r="AA37" s="9"/>
      <c r="AB37" s="9"/>
      <c r="AE37" s="7"/>
      <c r="AF37" s="7"/>
      <c r="AG37" s="7"/>
      <c r="AH37" s="7"/>
      <c r="AI37" s="7"/>
      <c r="AJ37" s="7"/>
      <c r="AK37" s="7"/>
      <c r="AL37" s="7"/>
    </row>
    <row r="38" spans="1:38" s="3" customFormat="1" ht="17" customHeight="1" x14ac:dyDescent="0.2">
      <c r="A38" s="5"/>
      <c r="B38" s="5"/>
      <c r="C38" s="5"/>
      <c r="E38" s="4"/>
      <c r="F38" s="4"/>
      <c r="G38" s="4"/>
      <c r="H38" s="4"/>
      <c r="K38" s="4"/>
      <c r="L38" s="4"/>
      <c r="M38" s="4"/>
      <c r="N38" s="4"/>
      <c r="R38" s="6"/>
      <c r="S38" s="6"/>
      <c r="T38" s="6"/>
      <c r="U38" s="6"/>
      <c r="V38" s="4"/>
      <c r="W38" s="4"/>
      <c r="X38" s="4"/>
      <c r="AA38" s="9"/>
      <c r="AB38" s="9"/>
      <c r="AE38" s="7"/>
      <c r="AF38" s="7"/>
      <c r="AG38" s="7"/>
      <c r="AH38" s="7"/>
      <c r="AI38" s="7"/>
      <c r="AJ38" s="7"/>
      <c r="AK38" s="7"/>
      <c r="AL38" s="7"/>
    </row>
    <row r="39" spans="1:38" s="3" customFormat="1" ht="17" customHeight="1" x14ac:dyDescent="0.2">
      <c r="A39" s="5"/>
      <c r="B39" s="5"/>
      <c r="C39" s="5"/>
      <c r="E39" s="4"/>
      <c r="F39" s="4"/>
      <c r="G39" s="4"/>
      <c r="H39" s="4"/>
      <c r="K39" s="4"/>
      <c r="L39" s="4"/>
      <c r="M39" s="4"/>
      <c r="N39" s="4"/>
      <c r="R39" s="6"/>
      <c r="S39" s="6"/>
      <c r="T39" s="6"/>
      <c r="U39" s="6"/>
      <c r="V39" s="4"/>
      <c r="W39" s="4"/>
      <c r="X39" s="4"/>
      <c r="AA39" s="9"/>
      <c r="AB39" s="9"/>
      <c r="AE39" s="7"/>
      <c r="AF39" s="7"/>
      <c r="AG39" s="7"/>
      <c r="AH39" s="7"/>
      <c r="AI39" s="7"/>
      <c r="AJ39" s="7"/>
      <c r="AK39" s="7"/>
      <c r="AL39" s="7"/>
    </row>
    <row r="40" spans="1:38" s="3" customFormat="1" ht="17" customHeight="1" x14ac:dyDescent="0.2">
      <c r="A40" s="5"/>
      <c r="B40" s="5"/>
      <c r="C40" s="5"/>
      <c r="E40" s="4"/>
      <c r="F40" s="4"/>
      <c r="G40" s="4"/>
      <c r="H40" s="4"/>
      <c r="K40" s="4"/>
      <c r="L40" s="4"/>
      <c r="M40" s="4"/>
      <c r="N40" s="4"/>
      <c r="R40" s="6"/>
      <c r="S40" s="6"/>
      <c r="T40" s="6"/>
      <c r="U40" s="6"/>
      <c r="V40" s="4"/>
      <c r="W40" s="4"/>
      <c r="X40" s="4"/>
      <c r="AA40" s="9"/>
      <c r="AB40" s="9"/>
      <c r="AE40" s="7"/>
      <c r="AF40" s="7"/>
      <c r="AG40" s="7"/>
      <c r="AH40" s="7"/>
      <c r="AI40" s="7"/>
      <c r="AJ40" s="7"/>
      <c r="AK40" s="7"/>
      <c r="AL40" s="7"/>
    </row>
    <row r="41" spans="1:38" s="3" customFormat="1" ht="17" customHeight="1" x14ac:dyDescent="0.2">
      <c r="A41" s="5"/>
      <c r="B41" s="5"/>
      <c r="C41" s="5"/>
      <c r="E41" s="4"/>
      <c r="F41" s="4"/>
      <c r="G41" s="4"/>
      <c r="H41" s="4"/>
      <c r="K41" s="4"/>
      <c r="L41" s="4"/>
      <c r="M41" s="4"/>
      <c r="N41" s="4"/>
      <c r="R41" s="6"/>
      <c r="S41" s="6"/>
      <c r="T41" s="6"/>
      <c r="U41" s="6"/>
      <c r="V41" s="4"/>
      <c r="W41" s="4"/>
      <c r="X41" s="4"/>
      <c r="AA41" s="9"/>
      <c r="AB41" s="9"/>
      <c r="AE41" s="7"/>
      <c r="AF41" s="7"/>
      <c r="AG41" s="7"/>
      <c r="AH41" s="7"/>
      <c r="AI41" s="7"/>
      <c r="AJ41" s="7"/>
      <c r="AK41" s="7"/>
      <c r="AL41" s="7"/>
    </row>
    <row r="42" spans="1:38" s="3" customFormat="1" ht="17" customHeight="1" x14ac:dyDescent="0.2">
      <c r="A42" s="5"/>
      <c r="B42" s="5"/>
      <c r="C42" s="5"/>
      <c r="E42" s="4"/>
      <c r="F42" s="4"/>
      <c r="G42" s="4"/>
      <c r="H42" s="4"/>
      <c r="K42" s="4"/>
      <c r="L42" s="4"/>
      <c r="M42" s="4"/>
      <c r="N42" s="4"/>
      <c r="R42" s="6"/>
      <c r="S42" s="6"/>
      <c r="T42" s="6"/>
      <c r="U42" s="6"/>
      <c r="V42" s="4"/>
      <c r="W42" s="4"/>
      <c r="X42" s="4"/>
      <c r="AA42" s="9"/>
      <c r="AB42" s="9"/>
      <c r="AE42" s="7"/>
      <c r="AF42" s="7"/>
      <c r="AG42" s="7"/>
      <c r="AH42" s="7"/>
      <c r="AI42" s="7"/>
      <c r="AJ42" s="7"/>
      <c r="AK42" s="7"/>
      <c r="AL42" s="7"/>
    </row>
    <row r="43" spans="1:38" s="3" customFormat="1" ht="17" customHeight="1" x14ac:dyDescent="0.2">
      <c r="A43" s="5"/>
      <c r="B43" s="5"/>
      <c r="C43" s="5"/>
      <c r="E43" s="4"/>
      <c r="F43" s="4"/>
      <c r="G43" s="4"/>
      <c r="H43" s="4"/>
      <c r="K43" s="4"/>
      <c r="L43" s="4"/>
      <c r="M43" s="4"/>
      <c r="N43" s="4"/>
      <c r="R43" s="6"/>
      <c r="S43" s="6"/>
      <c r="T43" s="6"/>
      <c r="U43" s="6"/>
      <c r="V43" s="4"/>
      <c r="W43" s="4"/>
      <c r="X43" s="4"/>
      <c r="AA43" s="9"/>
      <c r="AB43" s="9"/>
      <c r="AE43" s="7"/>
      <c r="AF43" s="7"/>
      <c r="AG43" s="7"/>
      <c r="AH43" s="7"/>
      <c r="AI43" s="7"/>
      <c r="AJ43" s="7"/>
      <c r="AK43" s="7"/>
      <c r="AL43" s="7"/>
    </row>
    <row r="44" spans="1:38" s="3" customFormat="1" ht="17" customHeight="1" x14ac:dyDescent="0.2">
      <c r="A44" s="5"/>
      <c r="B44" s="5"/>
      <c r="C44" s="5"/>
      <c r="E44" s="4"/>
      <c r="F44" s="4"/>
      <c r="G44" s="4"/>
      <c r="H44" s="4"/>
      <c r="K44" s="4"/>
      <c r="L44" s="4"/>
      <c r="M44" s="4"/>
      <c r="N44" s="4"/>
      <c r="R44" s="6"/>
      <c r="S44" s="6"/>
      <c r="T44" s="6"/>
      <c r="U44" s="6"/>
      <c r="V44" s="4"/>
      <c r="W44" s="4"/>
      <c r="X44" s="4"/>
      <c r="AA44" s="9"/>
      <c r="AB44" s="9"/>
      <c r="AE44" s="7"/>
      <c r="AF44" s="7"/>
      <c r="AG44" s="7"/>
      <c r="AH44" s="7"/>
      <c r="AI44" s="7"/>
      <c r="AJ44" s="7"/>
      <c r="AK44" s="7"/>
      <c r="AL44" s="7"/>
    </row>
    <row r="45" spans="1:38" s="3" customFormat="1" ht="17" customHeight="1" x14ac:dyDescent="0.2">
      <c r="A45" s="5"/>
      <c r="B45" s="5"/>
      <c r="C45" s="5"/>
      <c r="E45" s="4"/>
      <c r="F45" s="4"/>
      <c r="G45" s="4"/>
      <c r="H45" s="4"/>
      <c r="K45" s="4"/>
      <c r="L45" s="4"/>
      <c r="M45" s="4"/>
      <c r="N45" s="4"/>
      <c r="R45" s="6"/>
      <c r="S45" s="6"/>
      <c r="T45" s="6"/>
      <c r="U45" s="6"/>
      <c r="V45" s="4"/>
      <c r="W45" s="4"/>
      <c r="X45" s="4"/>
      <c r="AA45" s="9"/>
      <c r="AB45" s="9"/>
      <c r="AE45" s="7"/>
      <c r="AF45" s="7"/>
      <c r="AG45" s="7"/>
      <c r="AH45" s="7"/>
      <c r="AI45" s="7"/>
      <c r="AJ45" s="7"/>
      <c r="AK45" s="7"/>
      <c r="AL45" s="7"/>
    </row>
    <row r="46" spans="1:38" s="3" customFormat="1" ht="17" customHeight="1" x14ac:dyDescent="0.2">
      <c r="A46" s="5"/>
      <c r="B46" s="5"/>
      <c r="C46" s="5"/>
      <c r="E46" s="4"/>
      <c r="F46" s="4"/>
      <c r="G46" s="4"/>
      <c r="H46" s="4"/>
      <c r="K46" s="4"/>
      <c r="L46" s="4"/>
      <c r="M46" s="4"/>
      <c r="N46" s="4"/>
      <c r="R46" s="6"/>
      <c r="S46" s="6"/>
      <c r="T46" s="6"/>
      <c r="U46" s="6"/>
      <c r="V46" s="4"/>
      <c r="W46" s="4"/>
      <c r="X46" s="4"/>
      <c r="AA46" s="9"/>
      <c r="AB46" s="9"/>
      <c r="AE46" s="7"/>
      <c r="AF46" s="7"/>
      <c r="AG46" s="7"/>
      <c r="AH46" s="7"/>
      <c r="AI46" s="7"/>
      <c r="AJ46" s="7"/>
      <c r="AK46" s="7"/>
      <c r="AL46" s="7"/>
    </row>
    <row r="47" spans="1:38" s="3" customFormat="1" ht="17" customHeight="1" x14ac:dyDescent="0.2">
      <c r="A47" s="5"/>
      <c r="B47" s="5"/>
      <c r="C47" s="5"/>
      <c r="E47" s="4"/>
      <c r="F47" s="4"/>
      <c r="G47" s="4"/>
      <c r="H47" s="4"/>
      <c r="K47" s="4"/>
      <c r="L47" s="4"/>
      <c r="M47" s="4"/>
      <c r="N47" s="4"/>
      <c r="R47" s="6"/>
      <c r="S47" s="6"/>
      <c r="T47" s="6"/>
      <c r="U47" s="6"/>
      <c r="V47" s="4"/>
      <c r="W47" s="4"/>
      <c r="X47" s="4"/>
      <c r="AA47" s="9"/>
      <c r="AB47" s="9"/>
      <c r="AE47" s="7"/>
      <c r="AF47" s="7"/>
      <c r="AG47" s="7"/>
      <c r="AH47" s="7"/>
      <c r="AI47" s="7"/>
      <c r="AJ47" s="7"/>
      <c r="AK47" s="7"/>
      <c r="AL47" s="7"/>
    </row>
    <row r="48" spans="1:38" s="3" customFormat="1" ht="17" customHeight="1" x14ac:dyDescent="0.2">
      <c r="A48" s="5"/>
      <c r="B48" s="5"/>
      <c r="C48" s="5"/>
      <c r="E48" s="4"/>
      <c r="F48" s="4"/>
      <c r="G48" s="4"/>
      <c r="H48" s="4"/>
      <c r="K48" s="4"/>
      <c r="L48" s="4"/>
      <c r="M48" s="4"/>
      <c r="N48" s="4"/>
      <c r="R48" s="6"/>
      <c r="S48" s="6"/>
      <c r="T48" s="6"/>
      <c r="U48" s="6"/>
      <c r="V48" s="4"/>
      <c r="W48" s="4"/>
      <c r="X48" s="4"/>
      <c r="AA48" s="9"/>
      <c r="AB48" s="9"/>
      <c r="AE48" s="7"/>
      <c r="AF48" s="7"/>
      <c r="AG48" s="7"/>
      <c r="AH48" s="7"/>
      <c r="AI48" s="7"/>
      <c r="AJ48" s="7"/>
      <c r="AK48" s="7"/>
      <c r="AL48" s="7"/>
    </row>
    <row r="49" spans="1:38" s="3" customFormat="1" ht="17" customHeight="1" x14ac:dyDescent="0.2">
      <c r="A49" s="5"/>
      <c r="B49" s="5"/>
      <c r="C49" s="5"/>
      <c r="E49" s="4"/>
      <c r="F49" s="4"/>
      <c r="G49" s="4"/>
      <c r="H49" s="4"/>
      <c r="K49" s="4"/>
      <c r="L49" s="4"/>
      <c r="M49" s="4"/>
      <c r="N49" s="4"/>
      <c r="R49" s="6"/>
      <c r="S49" s="6"/>
      <c r="T49" s="6"/>
      <c r="U49" s="6"/>
      <c r="V49" s="4"/>
      <c r="W49" s="4"/>
      <c r="X49" s="4"/>
      <c r="AA49" s="9"/>
      <c r="AB49" s="9"/>
      <c r="AE49" s="7"/>
      <c r="AF49" s="7"/>
      <c r="AG49" s="7"/>
      <c r="AH49" s="7"/>
      <c r="AI49" s="7"/>
      <c r="AJ49" s="7"/>
      <c r="AK49" s="7"/>
      <c r="AL49" s="7"/>
    </row>
    <row r="50" spans="1:38" s="3" customFormat="1" ht="17" customHeight="1" x14ac:dyDescent="0.2">
      <c r="A50" s="5"/>
      <c r="B50" s="5"/>
      <c r="C50" s="5"/>
      <c r="E50" s="4"/>
      <c r="F50" s="4"/>
      <c r="G50" s="4"/>
      <c r="H50" s="4"/>
      <c r="K50" s="4"/>
      <c r="L50" s="4"/>
      <c r="M50" s="4"/>
      <c r="N50" s="4"/>
      <c r="R50" s="6"/>
      <c r="S50" s="6"/>
      <c r="T50" s="6"/>
      <c r="U50" s="6"/>
      <c r="V50" s="4"/>
      <c r="W50" s="4"/>
      <c r="X50" s="4"/>
      <c r="AA50" s="9"/>
      <c r="AB50" s="9"/>
      <c r="AE50" s="7"/>
      <c r="AF50" s="7"/>
      <c r="AG50" s="7"/>
      <c r="AH50" s="7"/>
      <c r="AI50" s="7"/>
      <c r="AJ50" s="7"/>
      <c r="AK50" s="7"/>
      <c r="AL50" s="7"/>
    </row>
    <row r="51" spans="1:38" s="3" customFormat="1" ht="17" customHeight="1" x14ac:dyDescent="0.2">
      <c r="A51" s="5"/>
      <c r="B51" s="5"/>
      <c r="C51" s="5"/>
      <c r="E51" s="4"/>
      <c r="F51" s="4"/>
      <c r="G51" s="4"/>
      <c r="H51" s="4"/>
      <c r="K51" s="4"/>
      <c r="L51" s="4"/>
      <c r="M51" s="4"/>
      <c r="N51" s="4"/>
      <c r="R51" s="6"/>
      <c r="S51" s="6"/>
      <c r="T51" s="6"/>
      <c r="U51" s="6"/>
      <c r="V51" s="4"/>
      <c r="W51" s="4"/>
      <c r="X51" s="4"/>
      <c r="AA51" s="9"/>
      <c r="AB51" s="9"/>
      <c r="AE51" s="7"/>
      <c r="AF51" s="7"/>
      <c r="AG51" s="7"/>
      <c r="AH51" s="7"/>
      <c r="AI51" s="7"/>
      <c r="AJ51" s="7"/>
      <c r="AK51" s="7"/>
      <c r="AL51" s="7"/>
    </row>
    <row r="52" spans="1:38" s="3" customFormat="1" ht="17" customHeight="1" x14ac:dyDescent="0.2">
      <c r="A52" s="5"/>
      <c r="B52" s="5"/>
      <c r="C52" s="5"/>
      <c r="E52" s="4"/>
      <c r="F52" s="4"/>
      <c r="G52" s="4"/>
      <c r="H52" s="4"/>
      <c r="K52" s="4"/>
      <c r="L52" s="4"/>
      <c r="M52" s="4"/>
      <c r="N52" s="4"/>
      <c r="R52" s="6"/>
      <c r="S52" s="6"/>
      <c r="T52" s="6"/>
      <c r="U52" s="6"/>
      <c r="V52" s="4"/>
      <c r="W52" s="4"/>
      <c r="X52" s="4"/>
      <c r="AA52" s="9"/>
      <c r="AB52" s="9"/>
      <c r="AE52" s="7"/>
      <c r="AF52" s="7"/>
      <c r="AG52" s="7"/>
      <c r="AH52" s="7"/>
      <c r="AI52" s="7"/>
      <c r="AJ52" s="7"/>
      <c r="AK52" s="7"/>
      <c r="AL52" s="7"/>
    </row>
    <row r="53" spans="1:38" s="3" customFormat="1" ht="17" customHeight="1" x14ac:dyDescent="0.2">
      <c r="A53" s="5"/>
      <c r="B53" s="5"/>
      <c r="C53" s="5"/>
      <c r="E53" s="4"/>
      <c r="F53" s="4"/>
      <c r="G53" s="4"/>
      <c r="H53" s="4"/>
      <c r="K53" s="4"/>
      <c r="L53" s="4"/>
      <c r="M53" s="4"/>
      <c r="N53" s="4"/>
      <c r="R53" s="6"/>
      <c r="S53" s="6"/>
      <c r="T53" s="6"/>
      <c r="U53" s="6"/>
      <c r="V53" s="4"/>
      <c r="W53" s="4"/>
      <c r="X53" s="4"/>
      <c r="AA53" s="9"/>
      <c r="AB53" s="9"/>
      <c r="AE53" s="7"/>
      <c r="AF53" s="7"/>
      <c r="AG53" s="7"/>
      <c r="AH53" s="7"/>
      <c r="AI53" s="7"/>
      <c r="AJ53" s="7"/>
      <c r="AK53" s="7"/>
      <c r="AL53" s="7"/>
    </row>
    <row r="54" spans="1:38" s="3" customFormat="1" ht="17" customHeight="1" x14ac:dyDescent="0.2">
      <c r="A54" s="5"/>
      <c r="B54" s="5"/>
      <c r="C54" s="5"/>
      <c r="E54" s="4"/>
      <c r="F54" s="4"/>
      <c r="G54" s="4"/>
      <c r="H54" s="4"/>
      <c r="K54" s="4"/>
      <c r="L54" s="4"/>
      <c r="M54" s="4"/>
      <c r="N54" s="4"/>
      <c r="R54" s="6"/>
      <c r="S54" s="6"/>
      <c r="T54" s="6"/>
      <c r="U54" s="6"/>
      <c r="V54" s="4"/>
      <c r="W54" s="4"/>
      <c r="X54" s="4"/>
      <c r="AA54" s="9"/>
      <c r="AB54" s="9"/>
      <c r="AE54" s="7"/>
      <c r="AF54" s="7"/>
      <c r="AG54" s="7"/>
      <c r="AH54" s="7"/>
      <c r="AI54" s="7"/>
      <c r="AJ54" s="7"/>
      <c r="AK54" s="7"/>
      <c r="AL54" s="7"/>
    </row>
    <row r="55" spans="1:38" s="3" customFormat="1" ht="17" customHeight="1" x14ac:dyDescent="0.2">
      <c r="A55" s="5"/>
      <c r="B55" s="5"/>
      <c r="C55" s="5"/>
      <c r="E55" s="4"/>
      <c r="F55" s="4"/>
      <c r="G55" s="4"/>
      <c r="H55" s="4"/>
      <c r="K55" s="4"/>
      <c r="L55" s="4"/>
      <c r="M55" s="4"/>
      <c r="N55" s="4"/>
      <c r="R55" s="6"/>
      <c r="S55" s="6"/>
      <c r="T55" s="6"/>
      <c r="U55" s="6"/>
      <c r="V55" s="4"/>
      <c r="W55" s="4"/>
      <c r="X55" s="4"/>
      <c r="AA55" s="9"/>
      <c r="AB55" s="9"/>
      <c r="AE55" s="7"/>
      <c r="AF55" s="7"/>
      <c r="AG55" s="7"/>
      <c r="AH55" s="7"/>
      <c r="AI55" s="7"/>
      <c r="AJ55" s="7"/>
      <c r="AK55" s="7"/>
      <c r="AL55" s="7"/>
    </row>
    <row r="56" spans="1:38" s="3" customFormat="1" ht="17" customHeight="1" x14ac:dyDescent="0.2">
      <c r="A56" s="5"/>
      <c r="B56" s="5"/>
      <c r="C56" s="5"/>
      <c r="E56" s="4"/>
      <c r="F56" s="4"/>
      <c r="G56" s="4"/>
      <c r="H56" s="4"/>
      <c r="K56" s="4"/>
      <c r="L56" s="4"/>
      <c r="M56" s="4"/>
      <c r="N56" s="4"/>
      <c r="R56" s="6"/>
      <c r="S56" s="6"/>
      <c r="T56" s="6"/>
      <c r="U56" s="6"/>
      <c r="V56" s="4"/>
      <c r="W56" s="4"/>
      <c r="X56" s="4"/>
      <c r="AA56" s="9"/>
      <c r="AB56" s="9"/>
      <c r="AE56" s="7"/>
      <c r="AF56" s="7"/>
      <c r="AG56" s="7"/>
      <c r="AH56" s="7"/>
      <c r="AI56" s="7"/>
      <c r="AJ56" s="7"/>
      <c r="AK56" s="7"/>
      <c r="AL56" s="7"/>
    </row>
    <row r="57" spans="1:38" s="3" customFormat="1" ht="17" customHeight="1" x14ac:dyDescent="0.2">
      <c r="A57" s="5"/>
      <c r="B57" s="5"/>
      <c r="C57" s="5"/>
      <c r="E57" s="4"/>
      <c r="F57" s="4"/>
      <c r="G57" s="4"/>
      <c r="H57" s="4"/>
      <c r="K57" s="4"/>
      <c r="L57" s="4"/>
      <c r="M57" s="4"/>
      <c r="N57" s="4"/>
      <c r="R57" s="6"/>
      <c r="S57" s="6"/>
      <c r="T57" s="6"/>
      <c r="U57" s="6"/>
      <c r="V57" s="4"/>
      <c r="W57" s="4"/>
      <c r="X57" s="4"/>
      <c r="AA57" s="9"/>
      <c r="AB57" s="9"/>
      <c r="AE57" s="7"/>
      <c r="AF57" s="7"/>
      <c r="AG57" s="7"/>
      <c r="AH57" s="7"/>
      <c r="AI57" s="7"/>
      <c r="AJ57" s="7"/>
      <c r="AK57" s="7"/>
      <c r="AL57" s="7"/>
    </row>
    <row r="58" spans="1:38" s="3" customFormat="1" ht="17" customHeight="1" x14ac:dyDescent="0.2">
      <c r="A58" s="5"/>
      <c r="B58" s="5"/>
      <c r="C58" s="5"/>
      <c r="E58" s="4"/>
      <c r="F58" s="4"/>
      <c r="G58" s="4"/>
      <c r="H58" s="4"/>
      <c r="K58" s="4"/>
      <c r="L58" s="4"/>
      <c r="M58" s="4"/>
      <c r="N58" s="4"/>
      <c r="R58" s="6"/>
      <c r="S58" s="6"/>
      <c r="T58" s="6"/>
      <c r="U58" s="6"/>
      <c r="V58" s="4"/>
      <c r="W58" s="4"/>
      <c r="X58" s="4"/>
      <c r="AA58" s="9"/>
      <c r="AB58" s="9"/>
      <c r="AE58" s="7"/>
      <c r="AF58" s="7"/>
      <c r="AG58" s="7"/>
      <c r="AH58" s="7"/>
      <c r="AI58" s="7"/>
      <c r="AJ58" s="7"/>
      <c r="AK58" s="7"/>
      <c r="AL58" s="7"/>
    </row>
    <row r="59" spans="1:38" s="3" customFormat="1" ht="17" customHeight="1" x14ac:dyDescent="0.2">
      <c r="A59" s="5"/>
      <c r="B59" s="5"/>
      <c r="C59" s="5"/>
      <c r="E59" s="4"/>
      <c r="F59" s="4"/>
      <c r="G59" s="4"/>
      <c r="H59" s="4"/>
      <c r="K59" s="4"/>
      <c r="L59" s="4"/>
      <c r="M59" s="4"/>
      <c r="N59" s="4"/>
      <c r="R59" s="6"/>
      <c r="S59" s="6"/>
      <c r="T59" s="6"/>
      <c r="U59" s="6"/>
      <c r="V59" s="4"/>
      <c r="W59" s="4"/>
      <c r="X59" s="4"/>
      <c r="AA59" s="9"/>
      <c r="AB59" s="9"/>
      <c r="AE59" s="7"/>
      <c r="AF59" s="7"/>
      <c r="AG59" s="7"/>
      <c r="AH59" s="7"/>
      <c r="AI59" s="7"/>
      <c r="AJ59" s="7"/>
      <c r="AK59" s="7"/>
      <c r="AL59" s="7"/>
    </row>
    <row r="60" spans="1:38" s="3" customFormat="1" ht="17" customHeight="1" x14ac:dyDescent="0.2">
      <c r="A60" s="5"/>
      <c r="B60" s="5"/>
      <c r="C60" s="5"/>
      <c r="E60" s="4"/>
      <c r="F60" s="4"/>
      <c r="G60" s="4"/>
      <c r="H60" s="4"/>
      <c r="K60" s="4"/>
      <c r="L60" s="4"/>
      <c r="M60" s="4"/>
      <c r="N60" s="4"/>
      <c r="R60" s="6"/>
      <c r="S60" s="6"/>
      <c r="T60" s="6"/>
      <c r="U60" s="6"/>
      <c r="V60" s="4"/>
      <c r="W60" s="4"/>
      <c r="X60" s="4"/>
      <c r="AA60" s="9"/>
      <c r="AB60" s="9"/>
      <c r="AE60" s="7"/>
      <c r="AF60" s="7"/>
      <c r="AG60" s="7"/>
      <c r="AH60" s="7"/>
      <c r="AI60" s="7"/>
      <c r="AJ60" s="7"/>
      <c r="AK60" s="7"/>
      <c r="AL60" s="7"/>
    </row>
    <row r="61" spans="1:38" s="3" customFormat="1" ht="17" customHeight="1" x14ac:dyDescent="0.2">
      <c r="A61" s="5"/>
      <c r="B61" s="5"/>
      <c r="C61" s="5"/>
      <c r="E61" s="4"/>
      <c r="F61" s="4"/>
      <c r="G61" s="4"/>
      <c r="H61" s="4"/>
      <c r="K61" s="4"/>
      <c r="L61" s="4"/>
      <c r="M61" s="4"/>
      <c r="N61" s="4"/>
      <c r="R61" s="6"/>
      <c r="S61" s="6"/>
      <c r="T61" s="6"/>
      <c r="U61" s="6"/>
      <c r="V61" s="4"/>
      <c r="W61" s="4"/>
      <c r="X61" s="4"/>
      <c r="AA61" s="9"/>
      <c r="AB61" s="9"/>
      <c r="AE61" s="7"/>
      <c r="AF61" s="7"/>
      <c r="AG61" s="7"/>
      <c r="AH61" s="7"/>
      <c r="AI61" s="7"/>
      <c r="AJ61" s="7"/>
      <c r="AK61" s="7"/>
      <c r="AL61" s="7"/>
    </row>
    <row r="62" spans="1:38" s="3" customFormat="1" ht="17" customHeight="1" x14ac:dyDescent="0.2">
      <c r="A62" s="5"/>
      <c r="B62" s="5"/>
      <c r="C62" s="5"/>
      <c r="E62" s="4"/>
      <c r="F62" s="4"/>
      <c r="G62" s="4"/>
      <c r="H62" s="4"/>
      <c r="K62" s="4"/>
      <c r="L62" s="4"/>
      <c r="M62" s="4"/>
      <c r="N62" s="4"/>
      <c r="R62" s="6"/>
      <c r="S62" s="6"/>
      <c r="T62" s="6"/>
      <c r="U62" s="6"/>
      <c r="V62" s="4"/>
      <c r="W62" s="4"/>
      <c r="X62" s="4"/>
      <c r="AA62" s="9"/>
      <c r="AB62" s="9"/>
      <c r="AE62" s="7"/>
      <c r="AF62" s="7"/>
      <c r="AG62" s="7"/>
      <c r="AH62" s="7"/>
      <c r="AI62" s="7"/>
      <c r="AJ62" s="7"/>
      <c r="AK62" s="7"/>
      <c r="AL62" s="7"/>
    </row>
    <row r="63" spans="1:38" s="3" customFormat="1" ht="17" customHeight="1" x14ac:dyDescent="0.2">
      <c r="A63" s="5"/>
      <c r="B63" s="5"/>
      <c r="C63" s="5"/>
      <c r="E63" s="4"/>
      <c r="F63" s="4"/>
      <c r="G63" s="4"/>
      <c r="H63" s="4"/>
      <c r="K63" s="4"/>
      <c r="L63" s="4"/>
      <c r="M63" s="4"/>
      <c r="N63" s="4"/>
      <c r="R63" s="6"/>
      <c r="S63" s="6"/>
      <c r="T63" s="6"/>
      <c r="U63" s="6"/>
      <c r="V63" s="4"/>
      <c r="W63" s="4"/>
      <c r="X63" s="4"/>
      <c r="AA63" s="9"/>
      <c r="AB63" s="9"/>
      <c r="AE63" s="7"/>
      <c r="AF63" s="7"/>
      <c r="AG63" s="7"/>
      <c r="AH63" s="7"/>
      <c r="AI63" s="7"/>
      <c r="AJ63" s="7"/>
      <c r="AK63" s="7"/>
      <c r="AL63" s="7"/>
    </row>
    <row r="64" spans="1:38" s="3" customFormat="1" ht="17" customHeight="1" x14ac:dyDescent="0.2">
      <c r="A64" s="5"/>
      <c r="B64" s="5"/>
      <c r="C64" s="5"/>
      <c r="E64" s="4"/>
      <c r="F64" s="4"/>
      <c r="G64" s="4"/>
      <c r="H64" s="4"/>
      <c r="K64" s="4"/>
      <c r="L64" s="4"/>
      <c r="M64" s="4"/>
      <c r="N64" s="4"/>
      <c r="R64" s="6"/>
      <c r="S64" s="6"/>
      <c r="T64" s="6"/>
      <c r="U64" s="6"/>
      <c r="V64" s="4"/>
      <c r="W64" s="4"/>
      <c r="X64" s="4"/>
      <c r="AA64" s="9"/>
      <c r="AB64" s="9"/>
      <c r="AE64" s="7"/>
      <c r="AF64" s="7"/>
      <c r="AG64" s="7"/>
      <c r="AH64" s="7"/>
      <c r="AI64" s="7"/>
      <c r="AJ64" s="7"/>
      <c r="AK64" s="7"/>
      <c r="AL64" s="7"/>
    </row>
    <row r="65" spans="1:38" s="3" customFormat="1" ht="17" customHeight="1" x14ac:dyDescent="0.2">
      <c r="A65" s="5"/>
      <c r="B65" s="5"/>
      <c r="C65" s="5"/>
      <c r="E65" s="4"/>
      <c r="F65" s="4"/>
      <c r="G65" s="4"/>
      <c r="H65" s="4"/>
      <c r="K65" s="4"/>
      <c r="L65" s="4"/>
      <c r="M65" s="4"/>
      <c r="N65" s="4"/>
      <c r="R65" s="6"/>
      <c r="S65" s="6"/>
      <c r="T65" s="6"/>
      <c r="U65" s="6"/>
      <c r="V65" s="4"/>
      <c r="W65" s="4"/>
      <c r="X65" s="4"/>
      <c r="AA65" s="9"/>
      <c r="AB65" s="9"/>
      <c r="AE65" s="7"/>
      <c r="AF65" s="7"/>
      <c r="AG65" s="7"/>
      <c r="AH65" s="7"/>
      <c r="AI65" s="7"/>
      <c r="AJ65" s="7"/>
      <c r="AK65" s="7"/>
      <c r="AL65" s="7"/>
    </row>
    <row r="66" spans="1:38" s="3" customFormat="1" ht="17" customHeight="1" x14ac:dyDescent="0.2">
      <c r="A66" s="5"/>
      <c r="B66" s="5"/>
      <c r="C66" s="5"/>
      <c r="E66" s="4"/>
      <c r="F66" s="4"/>
      <c r="G66" s="4"/>
      <c r="H66" s="4"/>
      <c r="K66" s="4"/>
      <c r="L66" s="4"/>
      <c r="M66" s="4"/>
      <c r="N66" s="4"/>
      <c r="R66" s="6"/>
      <c r="S66" s="6"/>
      <c r="T66" s="6"/>
      <c r="U66" s="6"/>
      <c r="V66" s="4"/>
      <c r="W66" s="4"/>
      <c r="X66" s="4"/>
      <c r="AA66" s="9"/>
      <c r="AB66" s="9"/>
      <c r="AE66" s="7"/>
      <c r="AF66" s="7"/>
      <c r="AG66" s="7"/>
      <c r="AH66" s="7"/>
      <c r="AI66" s="7"/>
      <c r="AJ66" s="7"/>
      <c r="AK66" s="7"/>
      <c r="AL66" s="7"/>
    </row>
    <row r="67" spans="1:38" s="3" customFormat="1" ht="17" customHeight="1" x14ac:dyDescent="0.2">
      <c r="A67" s="5"/>
      <c r="B67" s="5"/>
      <c r="C67" s="5"/>
      <c r="E67" s="4"/>
      <c r="F67" s="4"/>
      <c r="G67" s="4"/>
      <c r="H67" s="4"/>
      <c r="K67" s="4"/>
      <c r="L67" s="4"/>
      <c r="M67" s="4"/>
      <c r="N67" s="4"/>
      <c r="R67" s="6"/>
      <c r="S67" s="6"/>
      <c r="T67" s="6"/>
      <c r="U67" s="6"/>
      <c r="V67" s="4"/>
      <c r="W67" s="4"/>
      <c r="X67" s="4"/>
      <c r="AA67" s="9"/>
      <c r="AB67" s="9"/>
      <c r="AE67" s="7"/>
      <c r="AF67" s="7"/>
      <c r="AG67" s="7"/>
      <c r="AH67" s="7"/>
      <c r="AI67" s="7"/>
      <c r="AJ67" s="7"/>
      <c r="AK67" s="7"/>
      <c r="AL67" s="7"/>
    </row>
    <row r="68" spans="1:38" s="3" customFormat="1" ht="17" customHeight="1" x14ac:dyDescent="0.2">
      <c r="A68" s="5"/>
      <c r="B68" s="5"/>
      <c r="C68" s="5"/>
      <c r="E68" s="4"/>
      <c r="F68" s="4"/>
      <c r="G68" s="4"/>
      <c r="H68" s="4"/>
      <c r="K68" s="4"/>
      <c r="L68" s="4"/>
      <c r="M68" s="4"/>
      <c r="N68" s="4"/>
      <c r="R68" s="6"/>
      <c r="S68" s="6"/>
      <c r="T68" s="6"/>
      <c r="U68" s="6"/>
      <c r="V68" s="4"/>
      <c r="W68" s="4"/>
      <c r="X68" s="4"/>
      <c r="AA68" s="9"/>
      <c r="AB68" s="9"/>
      <c r="AE68" s="7"/>
      <c r="AF68" s="7"/>
      <c r="AG68" s="7"/>
      <c r="AH68" s="7"/>
      <c r="AI68" s="7"/>
      <c r="AJ68" s="7"/>
      <c r="AK68" s="7"/>
      <c r="AL68" s="7"/>
    </row>
    <row r="69" spans="1:38" s="3" customFormat="1" ht="17" customHeight="1" x14ac:dyDescent="0.2">
      <c r="A69" s="5"/>
      <c r="B69" s="5"/>
      <c r="C69" s="5"/>
      <c r="E69" s="4"/>
      <c r="F69" s="4"/>
      <c r="G69" s="4"/>
      <c r="H69" s="4"/>
      <c r="K69" s="4"/>
      <c r="L69" s="4"/>
      <c r="M69" s="4"/>
      <c r="N69" s="4"/>
      <c r="R69" s="6"/>
      <c r="S69" s="6"/>
      <c r="T69" s="6"/>
      <c r="U69" s="6"/>
      <c r="V69" s="4"/>
      <c r="W69" s="4"/>
      <c r="X69" s="4"/>
      <c r="AA69" s="9"/>
      <c r="AB69" s="9"/>
      <c r="AE69" s="7"/>
      <c r="AF69" s="7"/>
      <c r="AG69" s="7"/>
      <c r="AH69" s="7"/>
      <c r="AI69" s="7"/>
      <c r="AJ69" s="7"/>
      <c r="AK69" s="7"/>
      <c r="AL69" s="7"/>
    </row>
    <row r="70" spans="1:38" s="3" customFormat="1" ht="17" customHeight="1" x14ac:dyDescent="0.2">
      <c r="A70" s="5"/>
      <c r="B70" s="5"/>
      <c r="C70" s="5"/>
      <c r="E70" s="4"/>
      <c r="F70" s="4"/>
      <c r="G70" s="4"/>
      <c r="H70" s="4"/>
      <c r="K70" s="4"/>
      <c r="L70" s="4"/>
      <c r="M70" s="4"/>
      <c r="N70" s="4"/>
      <c r="R70" s="6"/>
      <c r="S70" s="6"/>
      <c r="T70" s="6"/>
      <c r="U70" s="6"/>
      <c r="V70" s="4"/>
      <c r="W70" s="4"/>
      <c r="X70" s="4"/>
      <c r="AA70" s="9"/>
      <c r="AB70" s="9"/>
      <c r="AE70" s="7"/>
      <c r="AF70" s="7"/>
      <c r="AG70" s="7"/>
      <c r="AH70" s="7"/>
      <c r="AI70" s="7"/>
      <c r="AJ70" s="7"/>
      <c r="AK70" s="7"/>
      <c r="AL70" s="7"/>
    </row>
    <row r="71" spans="1:38" s="3" customFormat="1" ht="17" customHeight="1" x14ac:dyDescent="0.2">
      <c r="A71" s="5"/>
      <c r="B71" s="5"/>
      <c r="C71" s="5"/>
      <c r="E71" s="4"/>
      <c r="F71" s="4"/>
      <c r="G71" s="4"/>
      <c r="H71" s="4"/>
      <c r="K71" s="4"/>
      <c r="L71" s="4"/>
      <c r="M71" s="4"/>
      <c r="N71" s="4"/>
      <c r="R71" s="6"/>
      <c r="S71" s="6"/>
      <c r="T71" s="6"/>
      <c r="U71" s="6"/>
      <c r="V71" s="4"/>
      <c r="W71" s="4"/>
      <c r="X71" s="4"/>
      <c r="AA71" s="9"/>
      <c r="AB71" s="9"/>
      <c r="AE71" s="7"/>
      <c r="AF71" s="7"/>
      <c r="AG71" s="7"/>
      <c r="AH71" s="7"/>
      <c r="AI71" s="7"/>
      <c r="AJ71" s="7"/>
      <c r="AK71" s="7"/>
      <c r="AL71" s="7"/>
    </row>
    <row r="72" spans="1:38" s="3" customFormat="1" ht="17" customHeight="1" x14ac:dyDescent="0.2">
      <c r="A72" s="5"/>
      <c r="B72" s="5"/>
      <c r="C72" s="5"/>
      <c r="E72" s="4"/>
      <c r="F72" s="4"/>
      <c r="G72" s="4"/>
      <c r="H72" s="4"/>
      <c r="K72" s="4"/>
      <c r="L72" s="4"/>
      <c r="M72" s="4"/>
      <c r="N72" s="4"/>
      <c r="R72" s="6"/>
      <c r="S72" s="6"/>
      <c r="T72" s="6"/>
      <c r="U72" s="6"/>
      <c r="V72" s="4"/>
      <c r="W72" s="4"/>
      <c r="X72" s="4"/>
      <c r="AA72" s="9"/>
      <c r="AB72" s="9"/>
      <c r="AE72" s="7"/>
      <c r="AF72" s="7"/>
      <c r="AG72" s="7"/>
      <c r="AH72" s="7"/>
      <c r="AI72" s="7"/>
      <c r="AJ72" s="7"/>
      <c r="AK72" s="7"/>
      <c r="AL72" s="7"/>
    </row>
    <row r="73" spans="1:38" s="3" customFormat="1" ht="17" customHeight="1" x14ac:dyDescent="0.2">
      <c r="A73" s="5"/>
      <c r="B73" s="5"/>
      <c r="C73" s="5"/>
      <c r="E73" s="4"/>
      <c r="F73" s="4"/>
      <c r="G73" s="4"/>
      <c r="H73" s="4"/>
      <c r="K73" s="4"/>
      <c r="L73" s="4"/>
      <c r="M73" s="4"/>
      <c r="N73" s="4"/>
      <c r="R73" s="6"/>
      <c r="S73" s="6"/>
      <c r="T73" s="6"/>
      <c r="U73" s="6"/>
      <c r="V73" s="4"/>
      <c r="W73" s="4"/>
      <c r="X73" s="4"/>
      <c r="AA73" s="9"/>
      <c r="AB73" s="9"/>
      <c r="AE73" s="7"/>
      <c r="AF73" s="7"/>
      <c r="AG73" s="7"/>
      <c r="AH73" s="7"/>
      <c r="AI73" s="7"/>
      <c r="AJ73" s="7"/>
      <c r="AK73" s="7"/>
      <c r="AL73" s="7"/>
    </row>
    <row r="74" spans="1:38" s="3" customFormat="1" ht="17" customHeight="1" x14ac:dyDescent="0.2">
      <c r="A74" s="5"/>
      <c r="B74" s="5"/>
      <c r="C74" s="5"/>
      <c r="E74" s="4"/>
      <c r="F74" s="4"/>
      <c r="G74" s="4"/>
      <c r="H74" s="4"/>
      <c r="K74" s="4"/>
      <c r="L74" s="4"/>
      <c r="M74" s="4"/>
      <c r="N74" s="4"/>
      <c r="R74" s="6"/>
      <c r="S74" s="6"/>
      <c r="T74" s="6"/>
      <c r="U74" s="6"/>
      <c r="V74" s="4"/>
      <c r="W74" s="4"/>
      <c r="X74" s="4"/>
      <c r="AA74" s="9"/>
      <c r="AB74" s="9"/>
      <c r="AE74" s="7"/>
      <c r="AF74" s="7"/>
      <c r="AG74" s="7"/>
      <c r="AH74" s="7"/>
      <c r="AI74" s="7"/>
      <c r="AJ74" s="7"/>
      <c r="AK74" s="7"/>
      <c r="AL74" s="7"/>
    </row>
    <row r="75" spans="1:38" s="3" customFormat="1" ht="17" customHeight="1" x14ac:dyDescent="0.2">
      <c r="A75" s="5"/>
      <c r="B75" s="5"/>
      <c r="C75" s="5"/>
      <c r="E75" s="4"/>
      <c r="F75" s="4"/>
      <c r="G75" s="4"/>
      <c r="H75" s="4"/>
      <c r="K75" s="4"/>
      <c r="L75" s="4"/>
      <c r="M75" s="4"/>
      <c r="N75" s="4"/>
      <c r="R75" s="6"/>
      <c r="S75" s="6"/>
      <c r="T75" s="6"/>
      <c r="U75" s="6"/>
      <c r="V75" s="4"/>
      <c r="W75" s="4"/>
      <c r="X75" s="4"/>
      <c r="AA75" s="9"/>
      <c r="AB75" s="9"/>
      <c r="AE75" s="7"/>
      <c r="AF75" s="7"/>
      <c r="AG75" s="7"/>
      <c r="AH75" s="7"/>
      <c r="AI75" s="7"/>
      <c r="AJ75" s="7"/>
      <c r="AK75" s="7"/>
      <c r="AL75" s="7"/>
    </row>
    <row r="76" spans="1:38" s="3" customFormat="1" ht="17" customHeight="1" x14ac:dyDescent="0.2">
      <c r="A76" s="5"/>
      <c r="B76" s="5"/>
      <c r="C76" s="5"/>
      <c r="E76" s="4"/>
      <c r="F76" s="4"/>
      <c r="G76" s="4"/>
      <c r="H76" s="4"/>
      <c r="K76" s="4"/>
      <c r="L76" s="4"/>
      <c r="M76" s="4"/>
      <c r="N76" s="4"/>
      <c r="R76" s="6"/>
      <c r="S76" s="6"/>
      <c r="T76" s="6"/>
      <c r="U76" s="6"/>
      <c r="V76" s="4"/>
      <c r="W76" s="4"/>
      <c r="X76" s="4"/>
      <c r="AA76" s="9"/>
      <c r="AB76" s="9"/>
      <c r="AE76" s="7"/>
      <c r="AF76" s="7"/>
      <c r="AG76" s="7"/>
      <c r="AH76" s="7"/>
      <c r="AI76" s="7"/>
      <c r="AJ76" s="7"/>
      <c r="AK76" s="7"/>
      <c r="AL76" s="7"/>
    </row>
    <row r="77" spans="1:38" s="3" customFormat="1" ht="17" customHeight="1" x14ac:dyDescent="0.2">
      <c r="A77" s="5"/>
      <c r="B77" s="5"/>
      <c r="C77" s="5"/>
      <c r="E77" s="4"/>
      <c r="F77" s="4"/>
      <c r="G77" s="4"/>
      <c r="H77" s="4"/>
      <c r="K77" s="4"/>
      <c r="L77" s="4"/>
      <c r="M77" s="4"/>
      <c r="N77" s="4"/>
      <c r="R77" s="6"/>
      <c r="S77" s="6"/>
      <c r="T77" s="6"/>
      <c r="U77" s="6"/>
      <c r="V77" s="4"/>
      <c r="W77" s="4"/>
      <c r="X77" s="4"/>
      <c r="AA77" s="9"/>
      <c r="AB77" s="9"/>
      <c r="AE77" s="7"/>
      <c r="AF77" s="7"/>
      <c r="AG77" s="7"/>
      <c r="AH77" s="7"/>
      <c r="AI77" s="7"/>
      <c r="AJ77" s="7"/>
      <c r="AK77" s="7"/>
      <c r="AL77" s="7"/>
    </row>
    <row r="78" spans="1:38" s="3" customFormat="1" ht="17" customHeight="1" x14ac:dyDescent="0.2">
      <c r="A78" s="5"/>
      <c r="B78" s="5"/>
      <c r="C78" s="5"/>
      <c r="E78" s="4"/>
      <c r="F78" s="4"/>
      <c r="G78" s="4"/>
      <c r="H78" s="4"/>
      <c r="K78" s="4"/>
      <c r="L78" s="4"/>
      <c r="M78" s="4"/>
      <c r="N78" s="4"/>
      <c r="R78" s="6"/>
      <c r="S78" s="6"/>
      <c r="T78" s="6"/>
      <c r="U78" s="6"/>
      <c r="V78" s="4"/>
      <c r="W78" s="4"/>
      <c r="X78" s="4"/>
      <c r="AA78" s="9"/>
      <c r="AB78" s="9"/>
      <c r="AE78" s="7"/>
      <c r="AF78" s="7"/>
      <c r="AG78" s="7"/>
      <c r="AH78" s="7"/>
      <c r="AI78" s="7"/>
      <c r="AJ78" s="7"/>
      <c r="AK78" s="7"/>
      <c r="AL78" s="7"/>
    </row>
    <row r="79" spans="1:38" s="3" customFormat="1" ht="17" customHeight="1" x14ac:dyDescent="0.2">
      <c r="A79" s="5"/>
      <c r="B79" s="5"/>
      <c r="C79" s="5"/>
      <c r="E79" s="4"/>
      <c r="F79" s="4"/>
      <c r="G79" s="4"/>
      <c r="H79" s="4"/>
      <c r="K79" s="4"/>
      <c r="L79" s="4"/>
      <c r="M79" s="4"/>
      <c r="N79" s="4"/>
      <c r="R79" s="6"/>
      <c r="S79" s="6"/>
      <c r="T79" s="6"/>
      <c r="U79" s="6"/>
      <c r="V79" s="4"/>
      <c r="W79" s="4"/>
      <c r="X79" s="4"/>
      <c r="AA79" s="9"/>
      <c r="AB79" s="9"/>
      <c r="AE79" s="7"/>
      <c r="AF79" s="7"/>
      <c r="AG79" s="7"/>
      <c r="AH79" s="7"/>
      <c r="AI79" s="7"/>
      <c r="AJ79" s="7"/>
      <c r="AK79" s="7"/>
      <c r="AL79" s="7"/>
    </row>
    <row r="80" spans="1:38" s="3" customFormat="1" ht="17" customHeight="1" x14ac:dyDescent="0.2">
      <c r="A80" s="5"/>
      <c r="B80" s="5"/>
      <c r="C80" s="5"/>
      <c r="E80" s="4"/>
      <c r="F80" s="4"/>
      <c r="G80" s="4"/>
      <c r="H80" s="4"/>
      <c r="K80" s="4"/>
      <c r="L80" s="4"/>
      <c r="M80" s="4"/>
      <c r="N80" s="4"/>
      <c r="R80" s="6"/>
      <c r="S80" s="6"/>
      <c r="T80" s="6"/>
      <c r="U80" s="6"/>
      <c r="V80" s="4"/>
      <c r="W80" s="4"/>
      <c r="X80" s="4"/>
      <c r="AA80" s="9"/>
      <c r="AB80" s="9"/>
      <c r="AE80" s="7"/>
      <c r="AF80" s="7"/>
      <c r="AG80" s="7"/>
      <c r="AH80" s="7"/>
      <c r="AI80" s="7"/>
      <c r="AJ80" s="7"/>
      <c r="AK80" s="7"/>
      <c r="AL80" s="7"/>
    </row>
    <row r="81" spans="1:38" s="3" customFormat="1" ht="17" customHeight="1" x14ac:dyDescent="0.2">
      <c r="A81" s="5"/>
      <c r="B81" s="5"/>
      <c r="C81" s="5"/>
      <c r="E81" s="4"/>
      <c r="F81" s="4"/>
      <c r="G81" s="4"/>
      <c r="H81" s="4"/>
      <c r="K81" s="4"/>
      <c r="L81" s="4"/>
      <c r="M81" s="4"/>
      <c r="N81" s="4"/>
      <c r="R81" s="6"/>
      <c r="S81" s="6"/>
      <c r="T81" s="6"/>
      <c r="U81" s="6"/>
      <c r="V81" s="4"/>
      <c r="W81" s="4"/>
      <c r="X81" s="4"/>
      <c r="AA81" s="9"/>
      <c r="AB81" s="9"/>
      <c r="AE81" s="7"/>
      <c r="AF81" s="7"/>
      <c r="AG81" s="7"/>
      <c r="AH81" s="7"/>
      <c r="AI81" s="7"/>
      <c r="AJ81" s="7"/>
      <c r="AK81" s="7"/>
      <c r="AL81" s="7"/>
    </row>
    <row r="82" spans="1:38" s="3" customFormat="1" ht="17" customHeight="1" x14ac:dyDescent="0.2">
      <c r="A82" s="5"/>
      <c r="B82" s="5"/>
      <c r="C82" s="5"/>
      <c r="E82" s="4"/>
      <c r="F82" s="4"/>
      <c r="G82" s="4"/>
      <c r="H82" s="4"/>
      <c r="K82" s="4"/>
      <c r="L82" s="4"/>
      <c r="M82" s="4"/>
      <c r="N82" s="4"/>
      <c r="R82" s="6"/>
      <c r="S82" s="6"/>
      <c r="T82" s="6"/>
      <c r="U82" s="6"/>
      <c r="V82" s="4"/>
      <c r="W82" s="4"/>
      <c r="X82" s="4"/>
      <c r="AA82" s="9"/>
      <c r="AB82" s="9"/>
      <c r="AE82" s="7"/>
      <c r="AF82" s="7"/>
      <c r="AG82" s="7"/>
      <c r="AH82" s="7"/>
      <c r="AI82" s="7"/>
      <c r="AJ82" s="7"/>
      <c r="AK82" s="7"/>
      <c r="AL82" s="7"/>
    </row>
    <row r="83" spans="1:38" s="3" customFormat="1" ht="17" customHeight="1" x14ac:dyDescent="0.2">
      <c r="A83" s="5"/>
      <c r="B83" s="5"/>
      <c r="C83" s="5"/>
      <c r="E83" s="4"/>
      <c r="F83" s="4"/>
      <c r="G83" s="4"/>
      <c r="H83" s="4"/>
      <c r="K83" s="4"/>
      <c r="L83" s="4"/>
      <c r="M83" s="4"/>
      <c r="N83" s="4"/>
      <c r="R83" s="6"/>
      <c r="S83" s="6"/>
      <c r="T83" s="6"/>
      <c r="U83" s="6"/>
      <c r="V83" s="4"/>
      <c r="W83" s="4"/>
      <c r="X83" s="4"/>
      <c r="AA83" s="9"/>
      <c r="AB83" s="9"/>
      <c r="AE83" s="7"/>
      <c r="AF83" s="7"/>
      <c r="AG83" s="7"/>
      <c r="AH83" s="7"/>
      <c r="AI83" s="7"/>
      <c r="AJ83" s="7"/>
      <c r="AK83" s="7"/>
      <c r="AL83" s="7"/>
    </row>
    <row r="84" spans="1:38" s="3" customFormat="1" ht="17" customHeight="1" x14ac:dyDescent="0.2">
      <c r="A84" s="5"/>
      <c r="B84" s="5"/>
      <c r="C84" s="5"/>
      <c r="E84" s="4"/>
      <c r="F84" s="4"/>
      <c r="G84" s="4"/>
      <c r="H84" s="4"/>
      <c r="K84" s="4"/>
      <c r="L84" s="4"/>
      <c r="M84" s="4"/>
      <c r="N84" s="4"/>
      <c r="R84" s="6"/>
      <c r="S84" s="6"/>
      <c r="T84" s="6"/>
      <c r="U84" s="6"/>
      <c r="V84" s="4"/>
      <c r="W84" s="4"/>
      <c r="X84" s="4"/>
      <c r="AA84" s="9"/>
      <c r="AB84" s="9"/>
      <c r="AE84" s="7"/>
      <c r="AF84" s="7"/>
      <c r="AG84" s="7"/>
      <c r="AH84" s="7"/>
      <c r="AI84" s="7"/>
      <c r="AJ84" s="7"/>
      <c r="AK84" s="7"/>
      <c r="AL84" s="7"/>
    </row>
  </sheetData>
  <phoneticPr fontId="6" type="noConversion"/>
  <conditionalFormatting sqref="AA3:AB84">
    <cfRule type="expression" dxfId="0" priority="1">
      <formula>AA3&lt;0.65</formula>
    </cfRule>
  </conditionalFormatting>
  <pageMargins left="0.75" right="0.75" top="1" bottom="1" header="0.5" footer="0.5"/>
  <pageSetup scale="67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JRM</dc:creator>
  <cp:lastModifiedBy>Daven Quinn</cp:lastModifiedBy>
  <dcterms:created xsi:type="dcterms:W3CDTF">2015-10-16T20:29:24Z</dcterms:created>
  <dcterms:modified xsi:type="dcterms:W3CDTF">2024-08-13T16:14:44Z</dcterms:modified>
</cp:coreProperties>
</file>